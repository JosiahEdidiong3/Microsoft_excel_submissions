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G\Desktop\3MTT MATERIALS\"/>
    </mc:Choice>
  </mc:AlternateContent>
  <xr:revisionPtr revIDLastSave="0" documentId="13_ncr:1_{C185BB2C-806D-4BEA-8DEF-7A279F758FA4}" xr6:coauthVersionLast="47" xr6:coauthVersionMax="47" xr10:uidLastSave="{00000000-0000-0000-0000-000000000000}"/>
  <bookViews>
    <workbookView xWindow="-120" yWindow="-120" windowWidth="20730" windowHeight="11160" activeTab="2" xr2:uid="{3D0F118B-D6A8-4E10-8F21-8269E3A8B839}"/>
  </bookViews>
  <sheets>
    <sheet name="DASHBOARD" sheetId="3" r:id="rId1"/>
    <sheet name="SUMMARY PIVOT TABLES" sheetId="4" r:id="rId2"/>
    <sheet name=" CLEANED AND ANALYED DATA" sheetId="1" r:id="rId3"/>
  </sheets>
  <calcPr calcId="191029"/>
  <pivotCaches>
    <pivotCache cacheId="0" r:id="rId4"/>
    <pivotCache cacheId="1" r:id="rId5"/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1" l="1"/>
  <c r="R6" i="1"/>
  <c r="L104" i="1"/>
  <c r="H104" i="1"/>
  <c r="M103" i="1"/>
  <c r="J103" i="1"/>
  <c r="I103" i="1"/>
  <c r="N103" i="1" s="1"/>
  <c r="M102" i="1"/>
  <c r="J102" i="1"/>
  <c r="I102" i="1"/>
  <c r="N102" i="1" s="1"/>
  <c r="M101" i="1"/>
  <c r="J101" i="1"/>
  <c r="I101" i="1"/>
  <c r="N101" i="1" s="1"/>
  <c r="M100" i="1"/>
  <c r="J100" i="1"/>
  <c r="I100" i="1"/>
  <c r="N100" i="1" s="1"/>
  <c r="M99" i="1"/>
  <c r="J99" i="1"/>
  <c r="I99" i="1"/>
  <c r="N99" i="1" s="1"/>
  <c r="M98" i="1"/>
  <c r="J98" i="1"/>
  <c r="I98" i="1"/>
  <c r="N98" i="1" s="1"/>
  <c r="M97" i="1"/>
  <c r="J97" i="1"/>
  <c r="I97" i="1"/>
  <c r="N97" i="1" s="1"/>
  <c r="M96" i="1"/>
  <c r="J96" i="1"/>
  <c r="I96" i="1"/>
  <c r="N96" i="1" s="1"/>
  <c r="M95" i="1"/>
  <c r="J95" i="1"/>
  <c r="I95" i="1"/>
  <c r="N95" i="1" s="1"/>
  <c r="M94" i="1"/>
  <c r="J94" i="1"/>
  <c r="I94" i="1"/>
  <c r="N94" i="1" s="1"/>
  <c r="M93" i="1"/>
  <c r="J93" i="1"/>
  <c r="I93" i="1"/>
  <c r="N93" i="1" s="1"/>
  <c r="M92" i="1"/>
  <c r="J92" i="1"/>
  <c r="I92" i="1"/>
  <c r="N92" i="1" s="1"/>
  <c r="M91" i="1"/>
  <c r="J91" i="1"/>
  <c r="I91" i="1"/>
  <c r="N91" i="1" s="1"/>
  <c r="M90" i="1"/>
  <c r="J90" i="1"/>
  <c r="I90" i="1"/>
  <c r="N90" i="1" s="1"/>
  <c r="M89" i="1"/>
  <c r="J89" i="1"/>
  <c r="I89" i="1"/>
  <c r="N89" i="1" s="1"/>
  <c r="M88" i="1"/>
  <c r="J88" i="1"/>
  <c r="I88" i="1"/>
  <c r="N88" i="1" s="1"/>
  <c r="M87" i="1"/>
  <c r="J87" i="1"/>
  <c r="I87" i="1"/>
  <c r="N87" i="1" s="1"/>
  <c r="M86" i="1"/>
  <c r="J86" i="1"/>
  <c r="I86" i="1"/>
  <c r="N86" i="1" s="1"/>
  <c r="M85" i="1"/>
  <c r="J85" i="1"/>
  <c r="I85" i="1"/>
  <c r="N85" i="1" s="1"/>
  <c r="M84" i="1"/>
  <c r="J84" i="1"/>
  <c r="I84" i="1"/>
  <c r="N84" i="1" s="1"/>
  <c r="M83" i="1"/>
  <c r="J83" i="1"/>
  <c r="I83" i="1"/>
  <c r="N83" i="1" s="1"/>
  <c r="M82" i="1"/>
  <c r="J82" i="1"/>
  <c r="I82" i="1"/>
  <c r="N82" i="1" s="1"/>
  <c r="M81" i="1"/>
  <c r="J81" i="1"/>
  <c r="I81" i="1"/>
  <c r="N81" i="1" s="1"/>
  <c r="M80" i="1"/>
  <c r="J80" i="1"/>
  <c r="I80" i="1"/>
  <c r="N80" i="1" s="1"/>
  <c r="M79" i="1"/>
  <c r="J79" i="1"/>
  <c r="I79" i="1"/>
  <c r="N79" i="1" s="1"/>
  <c r="M78" i="1"/>
  <c r="J78" i="1"/>
  <c r="I78" i="1"/>
  <c r="N78" i="1" s="1"/>
  <c r="M77" i="1"/>
  <c r="J77" i="1"/>
  <c r="I77" i="1"/>
  <c r="N77" i="1" s="1"/>
  <c r="M76" i="1"/>
  <c r="J76" i="1"/>
  <c r="I76" i="1"/>
  <c r="N76" i="1" s="1"/>
  <c r="M75" i="1"/>
  <c r="J75" i="1"/>
  <c r="I75" i="1"/>
  <c r="N75" i="1" s="1"/>
  <c r="M74" i="1"/>
  <c r="J74" i="1"/>
  <c r="I74" i="1"/>
  <c r="N74" i="1" s="1"/>
  <c r="M73" i="1"/>
  <c r="J73" i="1"/>
  <c r="I73" i="1"/>
  <c r="N73" i="1" s="1"/>
  <c r="M72" i="1"/>
  <c r="J72" i="1"/>
  <c r="I72" i="1"/>
  <c r="N72" i="1" s="1"/>
  <c r="M71" i="1"/>
  <c r="J71" i="1"/>
  <c r="I71" i="1"/>
  <c r="N71" i="1" s="1"/>
  <c r="M70" i="1"/>
  <c r="J70" i="1"/>
  <c r="I70" i="1"/>
  <c r="N70" i="1" s="1"/>
  <c r="M69" i="1"/>
  <c r="J69" i="1"/>
  <c r="I69" i="1"/>
  <c r="N69" i="1" s="1"/>
  <c r="M68" i="1"/>
  <c r="J68" i="1"/>
  <c r="I68" i="1"/>
  <c r="N68" i="1" s="1"/>
  <c r="M67" i="1"/>
  <c r="J67" i="1"/>
  <c r="I67" i="1"/>
  <c r="N67" i="1" s="1"/>
  <c r="M66" i="1"/>
  <c r="J66" i="1"/>
  <c r="I66" i="1"/>
  <c r="N66" i="1" s="1"/>
  <c r="M65" i="1"/>
  <c r="J65" i="1"/>
  <c r="I65" i="1"/>
  <c r="N65" i="1" s="1"/>
  <c r="M64" i="1"/>
  <c r="J64" i="1"/>
  <c r="I64" i="1"/>
  <c r="N64" i="1" s="1"/>
  <c r="M63" i="1"/>
  <c r="J63" i="1"/>
  <c r="I63" i="1"/>
  <c r="N63" i="1" s="1"/>
  <c r="M62" i="1"/>
  <c r="J62" i="1"/>
  <c r="I62" i="1"/>
  <c r="N62" i="1" s="1"/>
  <c r="M61" i="1"/>
  <c r="J61" i="1"/>
  <c r="I61" i="1"/>
  <c r="N61" i="1" s="1"/>
  <c r="M60" i="1"/>
  <c r="J60" i="1"/>
  <c r="I60" i="1"/>
  <c r="N60" i="1" s="1"/>
  <c r="M59" i="1"/>
  <c r="J59" i="1"/>
  <c r="I59" i="1"/>
  <c r="N59" i="1" s="1"/>
  <c r="M58" i="1"/>
  <c r="J58" i="1"/>
  <c r="I58" i="1"/>
  <c r="N58" i="1" s="1"/>
  <c r="M57" i="1"/>
  <c r="J57" i="1"/>
  <c r="I57" i="1"/>
  <c r="N57" i="1" s="1"/>
  <c r="M56" i="1"/>
  <c r="J56" i="1"/>
  <c r="I56" i="1"/>
  <c r="N56" i="1" s="1"/>
  <c r="M55" i="1"/>
  <c r="J55" i="1"/>
  <c r="I55" i="1"/>
  <c r="N55" i="1" s="1"/>
  <c r="M54" i="1"/>
  <c r="J54" i="1"/>
  <c r="I54" i="1"/>
  <c r="N54" i="1" s="1"/>
  <c r="M53" i="1"/>
  <c r="J53" i="1"/>
  <c r="I53" i="1"/>
  <c r="N53" i="1" s="1"/>
  <c r="M52" i="1"/>
  <c r="J52" i="1"/>
  <c r="I52" i="1"/>
  <c r="N52" i="1" s="1"/>
  <c r="M51" i="1"/>
  <c r="J51" i="1"/>
  <c r="I51" i="1"/>
  <c r="N51" i="1" s="1"/>
  <c r="M50" i="1"/>
  <c r="J50" i="1"/>
  <c r="I50" i="1"/>
  <c r="N50" i="1" s="1"/>
  <c r="M49" i="1"/>
  <c r="J49" i="1"/>
  <c r="I49" i="1"/>
  <c r="N49" i="1" s="1"/>
  <c r="M48" i="1"/>
  <c r="J48" i="1"/>
  <c r="I48" i="1"/>
  <c r="N48" i="1" s="1"/>
  <c r="M47" i="1"/>
  <c r="J47" i="1"/>
  <c r="I47" i="1"/>
  <c r="N47" i="1" s="1"/>
  <c r="M46" i="1"/>
  <c r="J46" i="1"/>
  <c r="I46" i="1"/>
  <c r="N46" i="1" s="1"/>
  <c r="M45" i="1"/>
  <c r="J45" i="1"/>
  <c r="I45" i="1"/>
  <c r="N45" i="1" s="1"/>
  <c r="M44" i="1"/>
  <c r="J44" i="1"/>
  <c r="I44" i="1"/>
  <c r="N44" i="1" s="1"/>
  <c r="M43" i="1"/>
  <c r="J43" i="1"/>
  <c r="I43" i="1"/>
  <c r="N43" i="1" s="1"/>
  <c r="M42" i="1"/>
  <c r="J42" i="1"/>
  <c r="I42" i="1"/>
  <c r="N42" i="1" s="1"/>
  <c r="M41" i="1"/>
  <c r="J41" i="1"/>
  <c r="I41" i="1"/>
  <c r="N41" i="1" s="1"/>
  <c r="M40" i="1"/>
  <c r="J40" i="1"/>
  <c r="I40" i="1"/>
  <c r="N40" i="1" s="1"/>
  <c r="M39" i="1"/>
  <c r="J39" i="1"/>
  <c r="I39" i="1"/>
  <c r="N39" i="1" s="1"/>
  <c r="M38" i="1"/>
  <c r="J38" i="1"/>
  <c r="I38" i="1"/>
  <c r="N38" i="1" s="1"/>
  <c r="M37" i="1"/>
  <c r="J37" i="1"/>
  <c r="I37" i="1"/>
  <c r="N37" i="1" s="1"/>
  <c r="M36" i="1"/>
  <c r="J36" i="1"/>
  <c r="I36" i="1"/>
  <c r="N36" i="1" s="1"/>
  <c r="M35" i="1"/>
  <c r="J35" i="1"/>
  <c r="I35" i="1"/>
  <c r="N35" i="1" s="1"/>
  <c r="M34" i="1"/>
  <c r="J34" i="1"/>
  <c r="I34" i="1"/>
  <c r="N34" i="1" s="1"/>
  <c r="M33" i="1"/>
  <c r="J33" i="1"/>
  <c r="I33" i="1"/>
  <c r="N33" i="1" s="1"/>
  <c r="M32" i="1"/>
  <c r="J32" i="1"/>
  <c r="I32" i="1"/>
  <c r="N32" i="1" s="1"/>
  <c r="M31" i="1"/>
  <c r="J31" i="1"/>
  <c r="I31" i="1"/>
  <c r="N31" i="1" s="1"/>
  <c r="M30" i="1"/>
  <c r="J30" i="1"/>
  <c r="I30" i="1"/>
  <c r="N30" i="1" s="1"/>
  <c r="M29" i="1"/>
  <c r="J29" i="1"/>
  <c r="I29" i="1"/>
  <c r="N29" i="1" s="1"/>
  <c r="M28" i="1"/>
  <c r="J28" i="1"/>
  <c r="I28" i="1"/>
  <c r="N28" i="1" s="1"/>
  <c r="M27" i="1"/>
  <c r="J27" i="1"/>
  <c r="I27" i="1"/>
  <c r="N27" i="1" s="1"/>
  <c r="M26" i="1"/>
  <c r="J26" i="1"/>
  <c r="I26" i="1"/>
  <c r="N26" i="1" s="1"/>
  <c r="M25" i="1"/>
  <c r="J25" i="1"/>
  <c r="I25" i="1"/>
  <c r="N25" i="1" s="1"/>
  <c r="M24" i="1"/>
  <c r="J24" i="1"/>
  <c r="I24" i="1"/>
  <c r="N24" i="1" s="1"/>
  <c r="M23" i="1"/>
  <c r="J23" i="1"/>
  <c r="I23" i="1"/>
  <c r="N23" i="1" s="1"/>
  <c r="M22" i="1"/>
  <c r="J22" i="1"/>
  <c r="I22" i="1"/>
  <c r="N22" i="1" s="1"/>
  <c r="M21" i="1"/>
  <c r="J21" i="1"/>
  <c r="I21" i="1"/>
  <c r="N21" i="1" s="1"/>
  <c r="M20" i="1"/>
  <c r="J20" i="1"/>
  <c r="I20" i="1"/>
  <c r="N20" i="1" s="1"/>
  <c r="M19" i="1"/>
  <c r="J19" i="1"/>
  <c r="I19" i="1"/>
  <c r="N19" i="1" s="1"/>
  <c r="M18" i="1"/>
  <c r="J18" i="1"/>
  <c r="I18" i="1"/>
  <c r="N18" i="1" s="1"/>
  <c r="M17" i="1"/>
  <c r="J17" i="1"/>
  <c r="I17" i="1"/>
  <c r="N17" i="1" s="1"/>
  <c r="M16" i="1"/>
  <c r="J16" i="1"/>
  <c r="I16" i="1"/>
  <c r="N16" i="1" s="1"/>
  <c r="M15" i="1"/>
  <c r="J15" i="1"/>
  <c r="I15" i="1"/>
  <c r="N15" i="1" s="1"/>
  <c r="M14" i="1"/>
  <c r="J14" i="1"/>
  <c r="I14" i="1"/>
  <c r="N14" i="1" s="1"/>
  <c r="M13" i="1"/>
  <c r="J13" i="1"/>
  <c r="I13" i="1"/>
  <c r="N13" i="1" s="1"/>
  <c r="M12" i="1"/>
  <c r="J12" i="1"/>
  <c r="I12" i="1"/>
  <c r="N12" i="1" s="1"/>
  <c r="M11" i="1"/>
  <c r="J11" i="1"/>
  <c r="I11" i="1"/>
  <c r="N11" i="1" s="1"/>
  <c r="M10" i="1"/>
  <c r="J10" i="1"/>
  <c r="I10" i="1"/>
  <c r="N10" i="1" s="1"/>
  <c r="M9" i="1"/>
  <c r="J9" i="1"/>
  <c r="I9" i="1"/>
  <c r="N9" i="1" s="1"/>
  <c r="M8" i="1"/>
  <c r="J8" i="1"/>
  <c r="I8" i="1"/>
  <c r="N8" i="1" s="1"/>
  <c r="M7" i="1"/>
  <c r="J7" i="1"/>
  <c r="I7" i="1"/>
  <c r="N7" i="1" s="1"/>
  <c r="M6" i="1"/>
  <c r="J6" i="1"/>
  <c r="I6" i="1"/>
  <c r="N6" i="1" s="1"/>
  <c r="M5" i="1"/>
  <c r="J5" i="1"/>
  <c r="I5" i="1"/>
  <c r="N5" i="1" s="1"/>
  <c r="M4" i="1"/>
  <c r="J4" i="1"/>
  <c r="I4" i="1"/>
  <c r="N4" i="1" s="1"/>
  <c r="M3" i="1"/>
  <c r="J3" i="1"/>
  <c r="I3" i="1"/>
  <c r="N3" i="1" s="1"/>
  <c r="M2" i="1"/>
  <c r="J2" i="1"/>
  <c r="I2" i="1"/>
  <c r="N2" i="1" s="1"/>
</calcChain>
</file>

<file path=xl/sharedStrings.xml><?xml version="1.0" encoding="utf-8"?>
<sst xmlns="http://schemas.openxmlformats.org/spreadsheetml/2006/main" count="569" uniqueCount="251">
  <si>
    <t>EmployeeID</t>
  </si>
  <si>
    <t>FirstName</t>
  </si>
  <si>
    <t>LastName</t>
  </si>
  <si>
    <t>Gender</t>
  </si>
  <si>
    <t>Department</t>
  </si>
  <si>
    <t>HireDate</t>
  </si>
  <si>
    <t>AttendanceRate (%)</t>
  </si>
  <si>
    <t>NUMBER OF DAYS WORKED</t>
  </si>
  <si>
    <t xml:space="preserve">HIRED YEAR </t>
  </si>
  <si>
    <t>COMPLETED &gt;10 PROJECT</t>
  </si>
  <si>
    <t>PROJECT COMPLETION EFFICIENCY RATE (PCE %)</t>
  </si>
  <si>
    <t>E1001</t>
  </si>
  <si>
    <t>John</t>
  </si>
  <si>
    <t>Smith</t>
  </si>
  <si>
    <t>Male</t>
  </si>
  <si>
    <t>IT</t>
  </si>
  <si>
    <t>E1002</t>
  </si>
  <si>
    <t>Emily</t>
  </si>
  <si>
    <t>Johnson</t>
  </si>
  <si>
    <t>Female</t>
  </si>
  <si>
    <t>HR</t>
  </si>
  <si>
    <t>E1003</t>
  </si>
  <si>
    <t>David</t>
  </si>
  <si>
    <t>Lee</t>
  </si>
  <si>
    <t>Marketing</t>
  </si>
  <si>
    <t>E1004</t>
  </si>
  <si>
    <t>Sarah</t>
  </si>
  <si>
    <t>Brown</t>
  </si>
  <si>
    <t>E1005</t>
  </si>
  <si>
    <t>Daniel</t>
  </si>
  <si>
    <t>Williams</t>
  </si>
  <si>
    <t>Finance</t>
  </si>
  <si>
    <t>E1006</t>
  </si>
  <si>
    <t>Anna</t>
  </si>
  <si>
    <t>Garcia</t>
  </si>
  <si>
    <t>E1007</t>
  </si>
  <si>
    <t>Michael</t>
  </si>
  <si>
    <t>Martinez</t>
  </si>
  <si>
    <t>Sales</t>
  </si>
  <si>
    <t>E1008</t>
  </si>
  <si>
    <t>Chloe</t>
  </si>
  <si>
    <t>Miller</t>
  </si>
  <si>
    <t>E1009</t>
  </si>
  <si>
    <t>Chris</t>
  </si>
  <si>
    <t>Wilson</t>
  </si>
  <si>
    <t>E1010</t>
  </si>
  <si>
    <t>Laura</t>
  </si>
  <si>
    <t>Moore</t>
  </si>
  <si>
    <t>E1111</t>
  </si>
  <si>
    <t>Charlotte</t>
  </si>
  <si>
    <t>Scott</t>
  </si>
  <si>
    <t>E1112</t>
  </si>
  <si>
    <t>Logan</t>
  </si>
  <si>
    <t>Cooper</t>
  </si>
  <si>
    <t>E1113</t>
  </si>
  <si>
    <t>Mia</t>
  </si>
  <si>
    <t>Mitchell</t>
  </si>
  <si>
    <t>E1114</t>
  </si>
  <si>
    <t>Ethan</t>
  </si>
  <si>
    <t>Nelson</t>
  </si>
  <si>
    <t>E1115</t>
  </si>
  <si>
    <t>Brooks</t>
  </si>
  <si>
    <t>E1116</t>
  </si>
  <si>
    <t>James</t>
  </si>
  <si>
    <t>Foster</t>
  </si>
  <si>
    <t>E1117</t>
  </si>
  <si>
    <t>Victoria</t>
  </si>
  <si>
    <t>Rivera</t>
  </si>
  <si>
    <t>E1118</t>
  </si>
  <si>
    <t>Jackson</t>
  </si>
  <si>
    <t>Diaz</t>
  </si>
  <si>
    <t>E1119</t>
  </si>
  <si>
    <t>Olivia</t>
  </si>
  <si>
    <t>Morris</t>
  </si>
  <si>
    <t>E1120</t>
  </si>
  <si>
    <t>William</t>
  </si>
  <si>
    <t>Parker</t>
  </si>
  <si>
    <t>E1121</t>
  </si>
  <si>
    <t>Kevin</t>
  </si>
  <si>
    <t>Adams</t>
  </si>
  <si>
    <t>E1122</t>
  </si>
  <si>
    <t>E1123</t>
  </si>
  <si>
    <t>Adam</t>
  </si>
  <si>
    <t>Rodriguez</t>
  </si>
  <si>
    <t>E1124</t>
  </si>
  <si>
    <t>Jane</t>
  </si>
  <si>
    <t>Harris</t>
  </si>
  <si>
    <t>E1125</t>
  </si>
  <si>
    <t>White</t>
  </si>
  <si>
    <t>E1126</t>
  </si>
  <si>
    <t>Isabella</t>
  </si>
  <si>
    <t>King</t>
  </si>
  <si>
    <t>E1127</t>
  </si>
  <si>
    <t>Jason</t>
  </si>
  <si>
    <t>Lewis</t>
  </si>
  <si>
    <t>E1128</t>
  </si>
  <si>
    <t>Emma</t>
  </si>
  <si>
    <t>Anderson</t>
  </si>
  <si>
    <t>E1129</t>
  </si>
  <si>
    <t>Jack</t>
  </si>
  <si>
    <t>Walker</t>
  </si>
  <si>
    <t>E1130</t>
  </si>
  <si>
    <t>Amelia</t>
  </si>
  <si>
    <t>Campbell</t>
  </si>
  <si>
    <t>E1131</t>
  </si>
  <si>
    <t>Ryan</t>
  </si>
  <si>
    <t>E1132</t>
  </si>
  <si>
    <t>E1133</t>
  </si>
  <si>
    <t>Evan</t>
  </si>
  <si>
    <t>Thompson</t>
  </si>
  <si>
    <t>E1134</t>
  </si>
  <si>
    <t>Zoe</t>
  </si>
  <si>
    <t>Young</t>
  </si>
  <si>
    <t>E1135</t>
  </si>
  <si>
    <t>Liam</t>
  </si>
  <si>
    <t>E1136</t>
  </si>
  <si>
    <t>Ava</t>
  </si>
  <si>
    <t>E1137</t>
  </si>
  <si>
    <t>Noah</t>
  </si>
  <si>
    <t>E1138</t>
  </si>
  <si>
    <t>Carter</t>
  </si>
  <si>
    <t>E1139</t>
  </si>
  <si>
    <t>Lucas</t>
  </si>
  <si>
    <t>E1140</t>
  </si>
  <si>
    <t>Grace</t>
  </si>
  <si>
    <t>Perez</t>
  </si>
  <si>
    <t>E1141</t>
  </si>
  <si>
    <t>Henry</t>
  </si>
  <si>
    <t>Richardson</t>
  </si>
  <si>
    <t>E1142</t>
  </si>
  <si>
    <t>Sophia</t>
  </si>
  <si>
    <t>Torres</t>
  </si>
  <si>
    <t>E1143</t>
  </si>
  <si>
    <t>E1144</t>
  </si>
  <si>
    <t>E1145</t>
  </si>
  <si>
    <t>Clark</t>
  </si>
  <si>
    <t>E1146</t>
  </si>
  <si>
    <t>Scarlett</t>
  </si>
  <si>
    <t>Bailey</t>
  </si>
  <si>
    <t>E1147</t>
  </si>
  <si>
    <t>Benjamin</t>
  </si>
  <si>
    <t>E1148</t>
  </si>
  <si>
    <t>E1149</t>
  </si>
  <si>
    <t>Mason</t>
  </si>
  <si>
    <t>Roberts</t>
  </si>
  <si>
    <t>E1150</t>
  </si>
  <si>
    <t>E1151</t>
  </si>
  <si>
    <t>Jacob</t>
  </si>
  <si>
    <t>E1152</t>
  </si>
  <si>
    <t>Jenkins</t>
  </si>
  <si>
    <t>E1153</t>
  </si>
  <si>
    <t>Russell</t>
  </si>
  <si>
    <t>E1154</t>
  </si>
  <si>
    <t>Ella</t>
  </si>
  <si>
    <t>Ward</t>
  </si>
  <si>
    <t>E1155</t>
  </si>
  <si>
    <t>Samuel</t>
  </si>
  <si>
    <t>Gray</t>
  </si>
  <si>
    <t>E1156</t>
  </si>
  <si>
    <t>Long</t>
  </si>
  <si>
    <t>E1157</t>
  </si>
  <si>
    <t>Patterson</t>
  </si>
  <si>
    <t>E1158</t>
  </si>
  <si>
    <t>Hughes</t>
  </si>
  <si>
    <t>E1159</t>
  </si>
  <si>
    <t>Bryant</t>
  </si>
  <si>
    <t>E1160</t>
  </si>
  <si>
    <t>E1161</t>
  </si>
  <si>
    <t>Alexander</t>
  </si>
  <si>
    <t>E1162</t>
  </si>
  <si>
    <t>Harper</t>
  </si>
  <si>
    <t>Ramirez</t>
  </si>
  <si>
    <t>E1163</t>
  </si>
  <si>
    <t>Flores</t>
  </si>
  <si>
    <t>E1164</t>
  </si>
  <si>
    <t>Powell</t>
  </si>
  <si>
    <t>E1165</t>
  </si>
  <si>
    <t>Stewart</t>
  </si>
  <si>
    <t>E1166</t>
  </si>
  <si>
    <t>Evelyn</t>
  </si>
  <si>
    <t>Sanders</t>
  </si>
  <si>
    <t>E1167</t>
  </si>
  <si>
    <t>E1168</t>
  </si>
  <si>
    <t>E1169</t>
  </si>
  <si>
    <t>Joshua</t>
  </si>
  <si>
    <t>E1170</t>
  </si>
  <si>
    <t>Zoey</t>
  </si>
  <si>
    <t>E1171</t>
  </si>
  <si>
    <t>E1172</t>
  </si>
  <si>
    <t>Andrew</t>
  </si>
  <si>
    <t>E1173</t>
  </si>
  <si>
    <t>Evans</t>
  </si>
  <si>
    <t>E1174</t>
  </si>
  <si>
    <t>E1175</t>
  </si>
  <si>
    <t>Lily</t>
  </si>
  <si>
    <t>Morgan</t>
  </si>
  <si>
    <t>E1176</t>
  </si>
  <si>
    <t>Rogers</t>
  </si>
  <si>
    <t>E1177</t>
  </si>
  <si>
    <t>Bell</t>
  </si>
  <si>
    <t>E1178</t>
  </si>
  <si>
    <t>E1179</t>
  </si>
  <si>
    <t>E1180</t>
  </si>
  <si>
    <t>E1181</t>
  </si>
  <si>
    <t>E1182</t>
  </si>
  <si>
    <t>Cook</t>
  </si>
  <si>
    <t>E1183</t>
  </si>
  <si>
    <t>E1184</t>
  </si>
  <si>
    <t>E1185</t>
  </si>
  <si>
    <t>E1186</t>
  </si>
  <si>
    <t>E1187</t>
  </si>
  <si>
    <t>Peterson</t>
  </si>
  <si>
    <t>E1188</t>
  </si>
  <si>
    <t>E1189</t>
  </si>
  <si>
    <t>E1190</t>
  </si>
  <si>
    <t>Murphy</t>
  </si>
  <si>
    <t>E1191</t>
  </si>
  <si>
    <t>E1192</t>
  </si>
  <si>
    <t>Turner</t>
  </si>
  <si>
    <t>E1193</t>
  </si>
  <si>
    <t>E1194</t>
  </si>
  <si>
    <t>E1195</t>
  </si>
  <si>
    <t>Phillips</t>
  </si>
  <si>
    <t>E1196</t>
  </si>
  <si>
    <t>E1197</t>
  </si>
  <si>
    <t>E1198</t>
  </si>
  <si>
    <t>Nguyen</t>
  </si>
  <si>
    <t>E1199</t>
  </si>
  <si>
    <t>Abigail</t>
  </si>
  <si>
    <t>Lopez</t>
  </si>
  <si>
    <t>E1200</t>
  </si>
  <si>
    <t xml:space="preserve">                  </t>
  </si>
  <si>
    <t>Projects Completed</t>
  </si>
  <si>
    <t>Performance Score</t>
  </si>
  <si>
    <t>Bonus Amount</t>
  </si>
  <si>
    <t>Row Labels</t>
  </si>
  <si>
    <t>Sum of Performance Score</t>
  </si>
  <si>
    <t>Grand Total</t>
  </si>
  <si>
    <t>Sum of PROJECT COMPLETION EFFICIENCY RATE (PCE %)</t>
  </si>
  <si>
    <t>NO</t>
  </si>
  <si>
    <t>YES</t>
  </si>
  <si>
    <t>Sum of AttendanceRate (%)</t>
  </si>
  <si>
    <t>Column Labels</t>
  </si>
  <si>
    <t>Count of EmployeeID</t>
  </si>
  <si>
    <t>Count of Projects Completed</t>
  </si>
  <si>
    <t>Completed &gt;10 project</t>
  </si>
  <si>
    <t>STATUS</t>
  </si>
  <si>
    <t>COUNT</t>
  </si>
  <si>
    <t>Sum of COUNT</t>
  </si>
  <si>
    <t>Completed &lt;10 project</t>
  </si>
  <si>
    <t xml:space="preserve">PROJECT COMPLETION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</si>
</sst>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14" fontId="2" fillId="0" borderId="0" xfId="0" applyNumberFormat="1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2" fontId="0" fillId="3" borderId="0" xfId="0" applyNumberFormat="1" applyFill="1"/>
    <xf numFmtId="0" fontId="0" fillId="3" borderId="0" xfId="0" applyFill="1"/>
    <xf numFmtId="0" fontId="1" fillId="3" borderId="0" xfId="0" applyFont="1" applyFill="1" applyAlignment="1">
      <alignment horizontal="right" vertical="center" wrapText="1"/>
    </xf>
    <xf numFmtId="0" fontId="0" fillId="3" borderId="0" xfId="0" applyFill="1" applyAlignment="1">
      <alignment horizontal="right"/>
    </xf>
    <xf numFmtId="37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[DAHEL CONSULT EXCEL PROJECT.xlsx]SUMMARY PIVOT TABLES!PivotTable4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PERFORMANCE CHART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491426071741032"/>
          <c:y val="0.24476633129192185"/>
          <c:w val="0.78645603674540687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'SUMMARY PIVOT TABLES'!$B$3</c:f>
              <c:strCache>
                <c:ptCount val="1"/>
                <c:pt idx="0">
                  <c:v>Sum of Performance Score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PIVOT TABLES'!$A$4:$A$9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'SUMMARY PIVOT TABLES'!$B$4:$B$9</c:f>
              <c:numCache>
                <c:formatCode>General</c:formatCode>
                <c:ptCount val="5"/>
                <c:pt idx="0">
                  <c:v>1490</c:v>
                </c:pt>
                <c:pt idx="1">
                  <c:v>1704</c:v>
                </c:pt>
                <c:pt idx="2">
                  <c:v>2326</c:v>
                </c:pt>
                <c:pt idx="3">
                  <c:v>1581</c:v>
                </c:pt>
                <c:pt idx="4">
                  <c:v>1592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0-4FFE-8559-CC5832CEF759}"/>
            </c:ext>
          </c:extLst>
        </c:ser>
        <c:ser>
          <c:idx val="1"/>
          <c:order val="1"/>
          <c:tx>
            <c:strRef>
              <c:f>'SUMMARY PIVOT TABLES'!$C$3</c:f>
              <c:strCache>
                <c:ptCount val="1"/>
                <c:pt idx="0">
                  <c:v>Sum of AttendanceRate (%)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PIVOT TABLES'!$A$4:$A$9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'SUMMARY PIVOT TABLES'!$C$4:$C$9</c:f>
              <c:numCache>
                <c:formatCode>General</c:formatCode>
                <c:ptCount val="5"/>
                <c:pt idx="0">
                  <c:v>1640</c:v>
                </c:pt>
                <c:pt idx="1">
                  <c:v>1885</c:v>
                </c:pt>
                <c:pt idx="2">
                  <c:v>2579</c:v>
                </c:pt>
                <c:pt idx="3">
                  <c:v>1763</c:v>
                </c:pt>
                <c:pt idx="4">
                  <c:v>1783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20-4FFE-8559-CC5832CEF75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12463375"/>
        <c:axId val="1712461935"/>
      </c:barChart>
      <c:catAx>
        <c:axId val="1712463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2"/>
                    </a:solidFill>
                  </a:rPr>
                  <a:t>DEPARTMENT</a:t>
                </a:r>
              </a:p>
            </c:rich>
          </c:tx>
          <c:overlay val="0"/>
          <c:spPr>
            <a:solidFill>
              <a:schemeClr val="tx2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461935"/>
        <c:crosses val="autoZero"/>
        <c:auto val="1"/>
        <c:lblAlgn val="ctr"/>
        <c:lblOffset val="100"/>
        <c:noMultiLvlLbl val="0"/>
      </c:catAx>
      <c:valAx>
        <c:axId val="171246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2"/>
                    </a:solidFill>
                  </a:rPr>
                  <a:t>PERFORMANCE SCORE</a:t>
                </a:r>
              </a:p>
              <a:p>
                <a:pPr>
                  <a:defRPr>
                    <a:solidFill>
                      <a:schemeClr val="bg2"/>
                    </a:solidFill>
                  </a:defRPr>
                </a:pPr>
                <a:r>
                  <a:rPr lang="en-US">
                    <a:solidFill>
                      <a:schemeClr val="bg2"/>
                    </a:solidFill>
                  </a:rPr>
                  <a:t>ATTENDANCE RATE</a:t>
                </a:r>
              </a:p>
            </c:rich>
          </c:tx>
          <c:layout>
            <c:manualLayout>
              <c:xMode val="edge"/>
              <c:yMode val="edge"/>
              <c:x val="1.6316298795803444E-2"/>
              <c:y val="0.26588363954505689"/>
            </c:manualLayout>
          </c:layout>
          <c:overlay val="0"/>
          <c:spPr>
            <a:solidFill>
              <a:schemeClr val="tx2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463375"/>
        <c:crosses val="autoZero"/>
        <c:crossBetween val="between"/>
        <c:majorUnit val="500"/>
        <c:minorUnit val="2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9150478987167"/>
          <c:y val="0.10401647710702824"/>
          <c:w val="0.1882228623247546"/>
          <c:h val="0.25534667541557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[DAHEL CONSULT EXCEL PROJECT.xlsx]SUMMARY PIVOT TABLES!PivotTable5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938648293963253"/>
          <c:y val="0.17171296296296296"/>
          <c:w val="0.55381605424321956"/>
          <c:h val="0.61122083697871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'SUMMARY PIVOT TABLES'!$B$12</c:f>
              <c:strCache>
                <c:ptCount val="1"/>
                <c:pt idx="0">
                  <c:v>Count of Projects 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PIVOT TABLES'!$A$13:$A$18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'SUMMARY PIVOT TABLES'!$B$13:$B$18</c:f>
              <c:numCache>
                <c:formatCode>General</c:formatCode>
                <c:ptCount val="5"/>
                <c:pt idx="0">
                  <c:v>17</c:v>
                </c:pt>
                <c:pt idx="1">
                  <c:v>20</c:v>
                </c:pt>
                <c:pt idx="2">
                  <c:v>27</c:v>
                </c:pt>
                <c:pt idx="3">
                  <c:v>19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2-4FEF-A65C-83F6D54A2D60}"/>
            </c:ext>
          </c:extLst>
        </c:ser>
        <c:ser>
          <c:idx val="1"/>
          <c:order val="1"/>
          <c:tx>
            <c:strRef>
              <c:f>'SUMMARY PIVOT TABLES'!$C$12</c:f>
              <c:strCache>
                <c:ptCount val="1"/>
                <c:pt idx="0">
                  <c:v>Count of EmployeeID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PIVOT TABLES'!$A$13:$A$18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'SUMMARY PIVOT TABLES'!$C$13:$C$18</c:f>
              <c:numCache>
                <c:formatCode>General</c:formatCode>
                <c:ptCount val="5"/>
                <c:pt idx="0">
                  <c:v>17</c:v>
                </c:pt>
                <c:pt idx="1">
                  <c:v>20</c:v>
                </c:pt>
                <c:pt idx="2">
                  <c:v>27</c:v>
                </c:pt>
                <c:pt idx="3">
                  <c:v>19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B2-4FEF-A65C-83F6D54A2D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17337743"/>
        <c:axId val="1917338703"/>
      </c:barChart>
      <c:catAx>
        <c:axId val="1917337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4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4">
                        <a:lumMod val="20000"/>
                        <a:lumOff val="80000"/>
                      </a:schemeClr>
                    </a:solidFill>
                  </a:rPr>
                  <a:t>DEPARTMENT</a:t>
                </a:r>
              </a:p>
            </c:rich>
          </c:tx>
          <c:overlay val="0"/>
          <c:spPr>
            <a:solidFill>
              <a:schemeClr val="tx2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4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38703"/>
        <c:crosses val="autoZero"/>
        <c:auto val="1"/>
        <c:lblAlgn val="ctr"/>
        <c:lblOffset val="100"/>
        <c:noMultiLvlLbl val="0"/>
      </c:catAx>
      <c:valAx>
        <c:axId val="191733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4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4">
                        <a:lumMod val="20000"/>
                        <a:lumOff val="80000"/>
                      </a:schemeClr>
                    </a:solidFill>
                  </a:rPr>
                  <a:t>PROJECT COMPLETED</a:t>
                </a:r>
              </a:p>
              <a:p>
                <a:pPr>
                  <a:defRPr>
                    <a:solidFill>
                      <a:schemeClr val="accent4">
                        <a:lumMod val="20000"/>
                        <a:lumOff val="80000"/>
                      </a:schemeClr>
                    </a:solidFill>
                  </a:defRPr>
                </a:pPr>
                <a:r>
                  <a:rPr lang="en-US">
                    <a:solidFill>
                      <a:schemeClr val="accent4">
                        <a:lumMod val="20000"/>
                        <a:lumOff val="80000"/>
                      </a:schemeClr>
                    </a:solidFill>
                  </a:rPr>
                  <a:t>NUMBER OF EMPLOYEE</a:t>
                </a:r>
              </a:p>
            </c:rich>
          </c:tx>
          <c:overlay val="0"/>
          <c:spPr>
            <a:solidFill>
              <a:schemeClr val="tx2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4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3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875809273840785"/>
          <c:y val="0.36652704870224556"/>
          <c:w val="0.26457524059492565"/>
          <c:h val="0.239584426946631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[DAHEL CONSULT EXCEL PROJECT.xlsx]SUMMARY PIVOT TABLES!PivotTable15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/>
              <a:t>PROJECT COMLETION EFFICIENCY ACROSS GENDER</a:t>
            </a:r>
          </a:p>
        </c:rich>
      </c:tx>
      <c:layout>
        <c:manualLayout>
          <c:xMode val="edge"/>
          <c:yMode val="edge"/>
          <c:x val="0.13541666666666666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3888888888888884E-2"/>
          <c:y val="0.23347003499562555"/>
          <c:w val="0.77847222222222223"/>
          <c:h val="0.69708552055993001"/>
        </c:manualLayout>
      </c:layout>
      <c:pie3DChart>
        <c:varyColors val="1"/>
        <c:ser>
          <c:idx val="0"/>
          <c:order val="0"/>
          <c:tx>
            <c:strRef>
              <c:f>'SUMMARY PIVOT TABLES'!$I$4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AFB-4101-B5AB-34C94EDF128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AFB-4101-B5AB-34C94EDF12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PIVOT TABLES'!$H$5:$H$7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'SUMMARY PIVOT TABLES'!$I$5:$I$7</c:f>
              <c:numCache>
                <c:formatCode>0.00%</c:formatCode>
                <c:ptCount val="2"/>
                <c:pt idx="0">
                  <c:v>0.53733374191551775</c:v>
                </c:pt>
                <c:pt idx="1">
                  <c:v>0.4626662580844822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FB-4101-B5AB-34C94EDF128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48162729658794"/>
          <c:y val="0.52182815689705453"/>
          <c:w val="0.1348517060367454"/>
          <c:h val="0.160880723242927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[DAHEL CONSULT EXCEL PROJECT.xlsx]SUMMARY PIVOT TABLES!PivotTable3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PROJECT</a:t>
            </a:r>
            <a:r>
              <a:rPr lang="en-US" baseline="0"/>
              <a:t> COMPLETION CHART</a:t>
            </a:r>
          </a:p>
        </c:rich>
      </c:tx>
      <c:overlay val="0"/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'SUMMARY PIVOT TABLES'!$I$12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5F8-4FE6-A498-399611B5A076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5F8-4FE6-A498-399611B5A07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PIVOT TABLES'!$H$13:$H$15</c:f>
              <c:strCache>
                <c:ptCount val="2"/>
                <c:pt idx="0">
                  <c:v>Completed &lt;10 project</c:v>
                </c:pt>
                <c:pt idx="1">
                  <c:v>Completed &gt;10 project</c:v>
                </c:pt>
              </c:strCache>
            </c:strRef>
          </c:cat>
          <c:val>
            <c:numRef>
              <c:f>'SUMMARY PIVOT TABLES'!$I$13:$I$15</c:f>
              <c:numCache>
                <c:formatCode>General</c:formatCode>
                <c:ptCount val="2"/>
                <c:pt idx="0">
                  <c:v>50</c:v>
                </c:pt>
                <c:pt idx="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F8-4FE6-A498-399611B5A07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</xdr:row>
      <xdr:rowOff>19050</xdr:rowOff>
    </xdr:from>
    <xdr:to>
      <xdr:col>9</xdr:col>
      <xdr:colOff>495299</xdr:colOff>
      <xdr:row>19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9AD5AC-5837-4C28-A251-A610B00103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285749</xdr:colOff>
      <xdr:row>0</xdr:row>
      <xdr:rowOff>171450</xdr:rowOff>
    </xdr:from>
    <xdr:to>
      <xdr:col>14</xdr:col>
      <xdr:colOff>47625</xdr:colOff>
      <xdr:row>2</xdr:row>
      <xdr:rowOff>161925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DED3E9F-51A6-0151-AE06-0E0C95878C53}"/>
            </a:ext>
          </a:extLst>
        </xdr:cNvPr>
        <xdr:cNvSpPr/>
      </xdr:nvSpPr>
      <xdr:spPr>
        <a:xfrm>
          <a:off x="4400549" y="171450"/>
          <a:ext cx="5248276" cy="35242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 baseline="0">
              <a:solidFill>
                <a:schemeClr val="accent6">
                  <a:lumMod val="75000"/>
                </a:schemeClr>
              </a:solidFill>
            </a:rPr>
            <a:t>DAHEL CONSULT EMPLOYEES PERFORMANCE DASHBORD</a:t>
          </a:r>
          <a:endParaRPr lang="en-US" sz="1600" b="1" kern="12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10</xdr:col>
      <xdr:colOff>28575</xdr:colOff>
      <xdr:row>4</xdr:row>
      <xdr:rowOff>19050</xdr:rowOff>
    </xdr:from>
    <xdr:to>
      <xdr:col>16</xdr:col>
      <xdr:colOff>485775</xdr:colOff>
      <xdr:row>19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D87AA8-E1B4-4768-AB40-5DABA11C9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38100</xdr:colOff>
      <xdr:row>20</xdr:row>
      <xdr:rowOff>19050</xdr:rowOff>
    </xdr:from>
    <xdr:to>
      <xdr:col>8</xdr:col>
      <xdr:colOff>495300</xdr:colOff>
      <xdr:row>35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91C6278-D942-4AD4-A861-0F536EDEC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638175</xdr:colOff>
      <xdr:row>20</xdr:row>
      <xdr:rowOff>0</xdr:rowOff>
    </xdr:from>
    <xdr:to>
      <xdr:col>16</xdr:col>
      <xdr:colOff>409575</xdr:colOff>
      <xdr:row>35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E591D5-B8D0-49BD-AE5A-1B5756EC15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G" refreshedDate="45750.687448842589" createdVersion="8" refreshedVersion="8" minRefreshableVersion="3" recordCount="103" xr:uid="{B163C662-8922-454E-A375-B56CCD8DF53B}">
  <cacheSource type="worksheet">
    <worksheetSource ref="A1:N104" sheet=" CLEANED AND ANALYED DATA"/>
  </cacheSource>
  <cacheFields count="17">
    <cacheField name="EmployeeID" numFmtId="0">
      <sharedItems containsBlank="1" count="101">
        <s v="E1001"/>
        <s v="E1002"/>
        <s v="E1003"/>
        <s v="E1004"/>
        <s v="E1005"/>
        <s v="E1006"/>
        <s v="E1007"/>
        <s v="E1008"/>
        <s v="E1009"/>
        <s v="E1010"/>
        <s v="E1111"/>
        <s v="E1112"/>
        <s v="E1113"/>
        <s v="E1114"/>
        <s v="E1115"/>
        <s v="E1116"/>
        <s v="E1117"/>
        <s v="E1118"/>
        <s v="E1119"/>
        <s v="E1120"/>
        <s v="E1121"/>
        <s v="E1122"/>
        <s v="E1123"/>
        <s v="E1124"/>
        <s v="E1125"/>
        <s v="E1126"/>
        <s v="E1127"/>
        <s v="E1128"/>
        <s v="E1129"/>
        <s v="E1130"/>
        <s v="E1131"/>
        <s v="E1132"/>
        <s v="E1133"/>
        <s v="E1134"/>
        <s v="E1135"/>
        <s v="E1136"/>
        <s v="E1137"/>
        <s v="E1138"/>
        <s v="E1139"/>
        <s v="E1140"/>
        <s v="E1141"/>
        <s v="E1142"/>
        <s v="E1143"/>
        <s v="E1144"/>
        <s v="E1145"/>
        <s v="E1146"/>
        <s v="E1147"/>
        <s v="E1148"/>
        <s v="E1149"/>
        <s v="E1150"/>
        <s v="E1151"/>
        <s v="E1152"/>
        <s v="E1153"/>
        <s v="E1154"/>
        <s v="E1155"/>
        <s v="E1156"/>
        <s v="E1157"/>
        <s v="E1158"/>
        <s v="E1159"/>
        <s v="E1160"/>
        <s v="E1161"/>
        <s v="E1162"/>
        <s v="E1163"/>
        <s v="E1164"/>
        <s v="E1165"/>
        <s v="E1166"/>
        <s v="E1167"/>
        <s v="E1168"/>
        <s v="E1169"/>
        <s v="E1170"/>
        <s v="E1171"/>
        <s v="E1172"/>
        <s v="E1173"/>
        <s v="E1174"/>
        <s v="E1175"/>
        <s v="E1176"/>
        <s v="E1177"/>
        <s v="E1178"/>
        <s v="E1179"/>
        <s v="E1180"/>
        <s v="E1181"/>
        <s v="E1182"/>
        <s v="E1183"/>
        <s v="E1184"/>
        <s v="E1185"/>
        <s v="E1186"/>
        <s v="E1187"/>
        <s v="E1188"/>
        <s v="E1189"/>
        <s v="E1190"/>
        <s v="E1191"/>
        <s v="E1192"/>
        <s v="E1193"/>
        <s v="E1194"/>
        <s v="E1195"/>
        <s v="E1196"/>
        <s v="E1197"/>
        <s v="E1198"/>
        <s v="E1199"/>
        <s v="E1200"/>
        <m/>
      </sharedItems>
    </cacheField>
    <cacheField name="FirstName" numFmtId="0">
      <sharedItems containsBlank="1"/>
    </cacheField>
    <cacheField name="LastName" numFmtId="0">
      <sharedItems containsBlank="1"/>
    </cacheField>
    <cacheField name="Gender" numFmtId="0">
      <sharedItems containsBlank="1"/>
    </cacheField>
    <cacheField name="Department" numFmtId="0">
      <sharedItems containsBlank="1" count="6">
        <s v="IT"/>
        <s v="HR"/>
        <s v="Marketing"/>
        <s v="Finance"/>
        <s v="Sales"/>
        <m/>
      </sharedItems>
    </cacheField>
    <cacheField name="HireDate" numFmtId="0">
      <sharedItems containsNonDate="0" containsDate="1" containsString="0" containsBlank="1" minDate="2019-02-25T00:00:00" maxDate="2022-11-29T00:00:00" count="99">
        <d v="2021-02-15T00:00:00"/>
        <d v="2022-05-10T00:00:00"/>
        <d v="2020-07-20T00:00:00"/>
        <d v="2019-12-05T00:00:00"/>
        <d v="2021-01-18T00:00:00"/>
        <d v="2020-08-22T00:00:00"/>
        <d v="2021-03-14T00:00:00"/>
        <d v="2022-06-11T00:00:00"/>
        <d v="2019-10-01T00:00:00"/>
        <d v="2020-01-07T00:00:00"/>
        <d v="2020-01-15T00:00:00"/>
        <d v="2021-02-22T00:00:00"/>
        <d v="2019-08-10T00:00:00"/>
        <d v="2020-03-05T00:00:00"/>
        <d v="2021-07-19T00:00:00"/>
        <d v="2022-09-29T00:00:00"/>
        <d v="2019-06-21T00:00:00"/>
        <d v="2021-05-08T00:00:00"/>
        <d v="2020-11-02T00:00:00"/>
        <d v="2022-03-17T00:00:00"/>
        <d v="2021-09-14T00:00:00"/>
        <d v="2020-04-02T00:00:00"/>
        <d v="2022-11-28T00:00:00"/>
        <d v="2020-06-17T00:00:00"/>
        <d v="2019-10-05T00:00:00"/>
        <d v="2021-08-25T00:00:00"/>
        <d v="2020-03-13T00:00:00"/>
        <d v="2019-07-08T00:00:00"/>
        <d v="2021-12-01T00:00:00"/>
        <d v="2020-05-22T00:00:00"/>
        <d v="2022-09-10T00:00:00"/>
        <d v="2020-08-30T00:00:00"/>
        <d v="2019-11-11T00:00:00"/>
        <d v="2021-05-03T00:00:00"/>
        <d v="2020-02-20T00:00:00"/>
        <d v="2022-01-15T00:00:00"/>
        <d v="2019-03-28T00:00:00"/>
        <d v="2021-07-16T00:00:00"/>
        <d v="2020-10-09T00:00:00"/>
        <d v="2022-06-18T00:00:00"/>
        <d v="2020-04-13T00:00:00"/>
        <d v="2021-01-07T00:00:00"/>
        <d v="2019-09-19T00:00:00"/>
        <d v="2022-07-15T00:00:00"/>
        <d v="2020-02-29T00:00:00"/>
        <d v="2021-10-20T00:00:00"/>
        <d v="2019-05-10T00:00:00"/>
        <d v="2020-06-01T00:00:00"/>
        <d v="2021-12-12T00:00:00"/>
        <d v="2022-03-18T00:00:00"/>
        <d v="2019-08-22T00:00:00"/>
        <d v="2021-09-09T00:00:00"/>
        <d v="2020-12-04T00:00:00"/>
        <d v="2021-02-14T00:00:00"/>
        <d v="2022-04-05T00:00:00"/>
        <d v="2020-11-22T00:00:00"/>
        <d v="2021-08-08T00:00:00"/>
        <d v="2022-05-30T00:00:00"/>
        <d v="2019-07-12T00:00:00"/>
        <d v="2021-06-17T00:00:00"/>
        <d v="2020-09-29T00:00:00"/>
        <d v="2021-03-25T00:00:00"/>
        <d v="2022-02-18T00:00:00"/>
        <d v="2020-05-08T00:00:00"/>
        <d v="2021-12-25T00:00:00"/>
        <d v="2022-10-14T00:00:00"/>
        <d v="2020-11-03T00:00:00"/>
        <d v="2021-09-06T00:00:00"/>
        <d v="2020-04-18T00:00:00"/>
        <d v="2022-01-11T00:00:00"/>
        <d v="2021-03-23T00:00:00"/>
        <d v="2020-08-14T00:00:00"/>
        <d v="2022-06-30T00:00:00"/>
        <d v="2019-10-25T00:00:00"/>
        <d v="2021-11-12T00:00:00"/>
        <d v="2020-04-30T00:00:00"/>
        <d v="2021-09-01T00:00:00"/>
        <d v="2022-02-11T00:00:00"/>
        <d v="2019-07-20T00:00:00"/>
        <d v="2021-04-08T00:00:00"/>
        <d v="2020-12-19T00:00:00"/>
        <d v="2021-10-23T00:00:00"/>
        <d v="2020-07-17T00:00:00"/>
        <d v="2022-03-28T00:00:00"/>
        <d v="2019-09-03T00:00:00"/>
        <d v="2021-02-16T00:00:00"/>
        <d v="2020-06-09T00:00:00"/>
        <d v="2022-11-25T00:00:00"/>
        <d v="2021-07-08T00:00:00"/>
        <d v="2019-11-04T00:00:00"/>
        <d v="2021-03-01T00:00:00"/>
        <d v="2020-05-29T00:00:00"/>
        <d v="2022-04-14T00:00:00"/>
        <d v="2019-02-25T00:00:00"/>
        <d v="2021-11-18T00:00:00"/>
        <d v="2020-12-06T00:00:00"/>
        <d v="2022-07-30T00:00:00"/>
        <d v="2021-06-13T00:00:00"/>
        <m/>
      </sharedItems>
      <fieldGroup par="16"/>
    </cacheField>
    <cacheField name="Performance Score" numFmtId="0">
      <sharedItems containsSemiMixedTypes="0" containsString="0" containsNumber="1" minValue="75" maxValue="93"/>
    </cacheField>
    <cacheField name="Projects Completed" numFmtId="0">
      <sharedItems containsMixedTypes="1" containsNumber="1" containsInteger="1" minValue="6" maxValue="15" count="11">
        <n v="12"/>
        <n v="8"/>
        <n v="10"/>
        <n v="15"/>
        <n v="14"/>
        <n v="9"/>
        <n v="11"/>
        <n v="7"/>
        <n v="13"/>
        <n v="6"/>
        <s v="                  "/>
      </sharedItems>
    </cacheField>
    <cacheField name="Bonus Amount" numFmtId="0">
      <sharedItems containsSemiMixedTypes="0" containsString="0" containsNumber="1" containsInteger="1" minValue="1100" maxValue="157300"/>
    </cacheField>
    <cacheField name="AttendanceRate (%)" numFmtId="0">
      <sharedItems containsString="0" containsBlank="1" containsNumber="1" containsInteger="1" minValue="88" maxValue="99"/>
    </cacheField>
    <cacheField name="NUMBER OF DAYS WORKED" numFmtId="0">
      <sharedItems containsString="0" containsBlank="1" containsNumber="1" containsInteger="1" minValue="853" maxValue="2225"/>
    </cacheField>
    <cacheField name="HIRED YEAR " numFmtId="0">
      <sharedItems containsString="0" containsBlank="1" containsNumber="1" containsInteger="1" minValue="2019" maxValue="2022"/>
    </cacheField>
    <cacheField name="COMPLETED &gt;10 PROJECT" numFmtId="0">
      <sharedItems containsBlank="1"/>
    </cacheField>
    <cacheField name="PROJECT COMPLETION EFFICIENCY RATE (PCE %)" numFmtId="0">
      <sharedItems containsString="0" containsBlank="1" containsNumber="1" minValue="38.314176245210724" maxValue="142.38773274917853"/>
    </cacheField>
    <cacheField name="Months (HireDate)" numFmtId="0" databaseField="0">
      <fieldGroup base="5">
        <rangePr groupBy="months" startDate="2019-02-25T00:00:00" endDate="2022-11-29T00:00:00"/>
        <groupItems count="14">
          <s v="&lt;2/25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9/2022"/>
        </groupItems>
      </fieldGroup>
    </cacheField>
    <cacheField name="Quarters (HireDate)" numFmtId="0" databaseField="0">
      <fieldGroup base="5">
        <rangePr groupBy="quarters" startDate="2019-02-25T00:00:00" endDate="2022-11-29T00:00:00"/>
        <groupItems count="6">
          <s v="&lt;2/25/2019"/>
          <s v="Qtr1"/>
          <s v="Qtr2"/>
          <s v="Qtr3"/>
          <s v="Qtr4"/>
          <s v="&gt;11/29/2022"/>
        </groupItems>
      </fieldGroup>
    </cacheField>
    <cacheField name="Years (HireDate)" numFmtId="0" databaseField="0">
      <fieldGroup base="5">
        <rangePr groupBy="years" startDate="2019-02-25T00:00:00" endDate="2022-11-29T00:00:00"/>
        <groupItems count="6">
          <s v="&lt;2/25/2019"/>
          <s v="2019"/>
          <s v="2020"/>
          <s v="2021"/>
          <s v="2022"/>
          <s v="&gt;11/29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G" refreshedDate="45750.778189004632" createdVersion="8" refreshedVersion="8" minRefreshableVersion="3" recordCount="103" xr:uid="{B026EE7D-02A7-4816-9C41-1B95738D51DA}">
  <cacheSource type="worksheet">
    <worksheetSource ref="A1:N104" sheet=" CLEANED AND ANALYED DATA"/>
  </cacheSource>
  <cacheFields count="14">
    <cacheField name="EmployeeID" numFmtId="0">
      <sharedItems containsBlank="1" count="101">
        <s v="E1001"/>
        <s v="E1002"/>
        <s v="E1003"/>
        <s v="E1004"/>
        <s v="E1005"/>
        <s v="E1006"/>
        <s v="E1007"/>
        <s v="E1008"/>
        <s v="E1009"/>
        <s v="E1010"/>
        <s v="E1111"/>
        <s v="E1112"/>
        <s v="E1113"/>
        <s v="E1114"/>
        <s v="E1115"/>
        <s v="E1116"/>
        <s v="E1117"/>
        <s v="E1118"/>
        <s v="E1119"/>
        <s v="E1120"/>
        <s v="E1121"/>
        <s v="E1122"/>
        <s v="E1123"/>
        <s v="E1124"/>
        <s v="E1125"/>
        <s v="E1126"/>
        <s v="E1127"/>
        <s v="E1128"/>
        <s v="E1129"/>
        <s v="E1130"/>
        <s v="E1131"/>
        <s v="E1132"/>
        <s v="E1133"/>
        <s v="E1134"/>
        <s v="E1135"/>
        <s v="E1136"/>
        <s v="E1137"/>
        <s v="E1138"/>
        <s v="E1139"/>
        <s v="E1140"/>
        <s v="E1141"/>
        <s v="E1142"/>
        <s v="E1143"/>
        <s v="E1144"/>
        <s v="E1145"/>
        <s v="E1146"/>
        <s v="E1147"/>
        <s v="E1148"/>
        <s v="E1149"/>
        <s v="E1150"/>
        <s v="E1151"/>
        <s v="E1152"/>
        <s v="E1153"/>
        <s v="E1154"/>
        <s v="E1155"/>
        <s v="E1156"/>
        <s v="E1157"/>
        <s v="E1158"/>
        <s v="E1159"/>
        <s v="E1160"/>
        <s v="E1161"/>
        <s v="E1162"/>
        <s v="E1163"/>
        <s v="E1164"/>
        <s v="E1165"/>
        <s v="E1166"/>
        <s v="E1167"/>
        <s v="E1168"/>
        <s v="E1169"/>
        <s v="E1170"/>
        <s v="E1171"/>
        <s v="E1172"/>
        <s v="E1173"/>
        <s v="E1174"/>
        <s v="E1175"/>
        <s v="E1176"/>
        <s v="E1177"/>
        <s v="E1178"/>
        <s v="E1179"/>
        <s v="E1180"/>
        <s v="E1181"/>
        <s v="E1182"/>
        <s v="E1183"/>
        <s v="E1184"/>
        <s v="E1185"/>
        <s v="E1186"/>
        <s v="E1187"/>
        <s v="E1188"/>
        <s v="E1189"/>
        <s v="E1190"/>
        <s v="E1191"/>
        <s v="E1192"/>
        <s v="E1193"/>
        <s v="E1194"/>
        <s v="E1195"/>
        <s v="E1196"/>
        <s v="E1197"/>
        <s v="E1198"/>
        <s v="E1199"/>
        <s v="E1200"/>
        <m/>
      </sharedItems>
    </cacheField>
    <cacheField name="FirstName" numFmtId="0">
      <sharedItems containsBlank="1"/>
    </cacheField>
    <cacheField name="LastName" numFmtId="0">
      <sharedItems containsBlank="1"/>
    </cacheField>
    <cacheField name="Gender" numFmtId="0">
      <sharedItems containsBlank="1" count="3">
        <s v="Male"/>
        <s v="Female"/>
        <m/>
      </sharedItems>
    </cacheField>
    <cacheField name="Department" numFmtId="0">
      <sharedItems containsBlank="1" count="6">
        <s v="IT"/>
        <s v="HR"/>
        <s v="Marketing"/>
        <s v="Finance"/>
        <s v="Sales"/>
        <m/>
      </sharedItems>
    </cacheField>
    <cacheField name="HireDate" numFmtId="0">
      <sharedItems containsNonDate="0" containsDate="1" containsString="0" containsBlank="1" minDate="2019-02-25T00:00:00" maxDate="2022-11-29T00:00:00"/>
    </cacheField>
    <cacheField name="Performance Score" numFmtId="0">
      <sharedItems containsSemiMixedTypes="0" containsString="0" containsNumber="1" minValue="75" maxValue="93"/>
    </cacheField>
    <cacheField name="Projects Completed" numFmtId="0">
      <sharedItems containsMixedTypes="1" containsNumber="1" containsInteger="1" minValue="6" maxValue="15"/>
    </cacheField>
    <cacheField name="Bonus Amount" numFmtId="0">
      <sharedItems containsSemiMixedTypes="0" containsString="0" containsNumber="1" containsInteger="1" minValue="1100" maxValue="157300"/>
    </cacheField>
    <cacheField name="AttendanceRate (%)" numFmtId="0">
      <sharedItems containsString="0" containsBlank="1" containsNumber="1" containsInteger="1" minValue="88" maxValue="99"/>
    </cacheField>
    <cacheField name="NUMBER OF DAYS WORKED" numFmtId="0">
      <sharedItems containsString="0" containsBlank="1" containsNumber="1" containsInteger="1" minValue="853" maxValue="2225"/>
    </cacheField>
    <cacheField name="HIRED YEAR " numFmtId="0">
      <sharedItems containsString="0" containsBlank="1" containsNumber="1" containsInteger="1" minValue="2019" maxValue="2022"/>
    </cacheField>
    <cacheField name="COMPLETED &gt;10 PROJECT" numFmtId="0">
      <sharedItems containsBlank="1" count="3">
        <s v="YES"/>
        <s v="NO"/>
        <m/>
      </sharedItems>
    </cacheField>
    <cacheField name="PROJECT COMPLETION EFFICIENCY RATE (PCE %)" numFmtId="0">
      <sharedItems containsString="0" containsBlank="1" containsNumber="1" minValue="38.314176245210724" maxValue="142.38773274917853" count="100">
        <n v="79.78723404255318"/>
        <n v="75.829383886255926"/>
        <n v="58.343057176196034"/>
        <n v="77.239958805355315"/>
        <n v="91.383812010443876"/>
        <n v="53.53955978584176"/>
        <n v="74.475287745429924"/>
        <n v="68.426197458455519"/>
        <n v="64.77329347284504"/>
        <n v="52.383446830801468"/>
        <n v="57.864281956864808"/>
        <n v="93.520374081496328"/>
        <n v="38.853812530354539"/>
        <n v="54.024851431658561"/>
        <n v="88.888888888888886"/>
        <n v="142.38773274917853"/>
        <n v="42.674253200568991"/>
        <n v="77.355836849507739"/>
        <n v="62.150403977625857"/>
        <n v="108.20559062218216"/>
        <n v="69.60556844547564"/>
        <n v="60.340098738343393"/>
        <n v="70.33997655334116"/>
        <n v="68.689181453921009"/>
        <n v="69.895157264103844"/>
        <n v="60.929169840060929"/>
        <n v="54.259359739555073"/>
        <n v="62.141491395793501"/>
        <n v="74.074074074074076"/>
        <n v="62.041737168640722"/>
        <n v="75.107296137339063"/>
        <n v="89.659294680215183"/>
        <n v="50.864699898270601"/>
        <n v="84.092501751927131"/>
        <n v="58.981233243967829"/>
        <n v="68.376068376068375"/>
        <n v="59.252506836827706"/>
        <n v="66.518847006651882"/>
        <n v="61.236987140232699"/>
        <n v="118.11023622047244"/>
        <n v="49.668874172185433"/>
        <n v="64.808813998703826"/>
        <n v="39.623576027736505"/>
        <n v="121.33468149646107"/>
        <n v="59.267241379310342"/>
        <n v="111.37629276054098"/>
        <n v="41.841004184100413"/>
        <n v="39.705048213272825"/>
        <n v="83.056478405315616"/>
        <n v="99.277978339350184"/>
        <n v="63.507572056668295"/>
        <n v="77.04160246533128"/>
        <n v="50.729232720355107"/>
        <n v="59.800664451827238"/>
        <n v="110.09174311926606"/>
        <n v="62.932662051604787"/>
        <n v="82.706766917293223"/>
        <n v="125.60386473429951"/>
        <n v="38.314176245210724"/>
        <n v="101.30246020260492"/>
        <n v="60.864272671941571"/>
        <n v="81.855388813096852"/>
        <n v="79.225352112676049"/>
        <n v="83.939563514269722"/>
        <n v="58.774139378673382"/>
        <n v="111.35857461024499"/>
        <n v="49.751243781094523"/>
        <n v="84.550345887778633"/>
        <n v="66.408411732152743"/>
        <n v="119.2504258943782"/>
        <n v="81.743869209809262"/>
        <n v="82.889283599763175"/>
        <n v="89.641434262948209"/>
        <n v="50.428643469490666"/>
        <n v="89.141004862236628"/>
        <n v="72.423398328690809"/>
        <n v="91.883614088820835"/>
        <n v="45.121263395375074"/>
        <n v="78.740157480314963"/>
        <n v="52.884615384615387"/>
        <n v="68.870523415977956"/>
        <n v="83.226632522407172"/>
        <n v="95.693779904306211"/>
        <n v="46.592894583576005"/>
        <n v="81.967213114754102"/>
        <n v="73.710073710073715"/>
        <n v="66.533599467731207"/>
        <n v="45.584045584045583"/>
        <n v="128.50467289719626"/>
        <n v="88.170462894930196"/>
        <n v="45.615813482007098"/>
        <n v="67.114093959731548"/>
        <n v="73.612684031710074"/>
        <n v="83.256244218316382"/>
        <n v="49.438202247191008"/>
        <n v="57.00325732899023"/>
        <n v="50.793650793650791"/>
        <n v="102.6694045174538"/>
        <n v="101.0101010101010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G" refreshedDate="45750.896984375002" createdVersion="8" refreshedVersion="8" minRefreshableVersion="3" recordCount="2" xr:uid="{AB3B58C6-48B7-42D5-A1E5-AE8E4FF2DE3E}">
  <cacheSource type="worksheet">
    <worksheetSource ref="Q5:R7" sheet=" CLEANED AND ANALYED DATA"/>
  </cacheSource>
  <cacheFields count="2">
    <cacheField name="STATUS" numFmtId="0">
      <sharedItems count="2">
        <s v="Completed &gt;10 project"/>
        <s v="Completed &lt;10 project"/>
      </sharedItems>
    </cacheField>
    <cacheField name="COUNT" numFmtId="0">
      <sharedItems containsSemiMixedTypes="0" containsString="0" containsNumber="1" containsInteger="1" minValue="50" maxValue="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  <s v="John"/>
    <s v="Smith"/>
    <s v="Male"/>
    <x v="0"/>
    <x v="0"/>
    <n v="85"/>
    <x v="0"/>
    <n v="1500"/>
    <n v="95"/>
    <n v="1504"/>
    <n v="2021"/>
    <s v="YES"/>
    <n v="79.78723404255318"/>
  </r>
  <r>
    <x v="1"/>
    <s v="Emily"/>
    <s v="Johnson"/>
    <s v="Female"/>
    <x v="1"/>
    <x v="1"/>
    <n v="90"/>
    <x v="1"/>
    <n v="1800"/>
    <n v="98"/>
    <n v="1055"/>
    <n v="2022"/>
    <s v="NO"/>
    <n v="75.829383886255926"/>
  </r>
  <r>
    <x v="2"/>
    <s v="David"/>
    <s v="Lee"/>
    <s v="Male"/>
    <x v="2"/>
    <x v="2"/>
    <n v="75"/>
    <x v="2"/>
    <n v="1200"/>
    <n v="92"/>
    <n v="1714"/>
    <n v="2020"/>
    <s v="NO"/>
    <n v="58.343057176196034"/>
  </r>
  <r>
    <x v="3"/>
    <s v="Sarah"/>
    <s v="Brown"/>
    <s v="Female"/>
    <x v="0"/>
    <x v="3"/>
    <n v="88"/>
    <x v="3"/>
    <n v="2000"/>
    <n v="97"/>
    <n v="1942"/>
    <n v="2019"/>
    <s v="YES"/>
    <n v="77.239958805355315"/>
  </r>
  <r>
    <x v="4"/>
    <s v="Daniel"/>
    <s v="Williams"/>
    <s v="Male"/>
    <x v="3"/>
    <x v="4"/>
    <n v="93"/>
    <x v="4"/>
    <n v="1750"/>
    <n v="99"/>
    <n v="1532"/>
    <n v="2021"/>
    <s v="YES"/>
    <n v="91.383812010443876"/>
  </r>
  <r>
    <x v="5"/>
    <s v="Anna"/>
    <s v="Garcia"/>
    <s v="Female"/>
    <x v="1"/>
    <x v="5"/>
    <n v="80"/>
    <x v="5"/>
    <n v="1300"/>
    <n v="94"/>
    <n v="1681"/>
    <n v="2020"/>
    <s v="NO"/>
    <n v="53.53955978584176"/>
  </r>
  <r>
    <x v="6"/>
    <s v="Michael"/>
    <s v="Martinez"/>
    <s v="Male"/>
    <x v="4"/>
    <x v="6"/>
    <n v="82"/>
    <x v="6"/>
    <n v="1400"/>
    <n v="96"/>
    <n v="1477"/>
    <n v="2021"/>
    <s v="YES"/>
    <n v="74.475287745429924"/>
  </r>
  <r>
    <x v="7"/>
    <s v="Chloe"/>
    <s v="Miller"/>
    <s v="Female"/>
    <x v="0"/>
    <x v="7"/>
    <n v="91"/>
    <x v="7"/>
    <n v="1600"/>
    <n v="99"/>
    <n v="1023"/>
    <n v="2022"/>
    <s v="NO"/>
    <n v="68.426197458455519"/>
  </r>
  <r>
    <x v="8"/>
    <s v="Chris"/>
    <s v="Wilson"/>
    <s v="Male"/>
    <x v="2"/>
    <x v="8"/>
    <n v="89"/>
    <x v="8"/>
    <n v="1550"/>
    <n v="98"/>
    <n v="2007"/>
    <n v="2019"/>
    <s v="YES"/>
    <n v="64.77329347284504"/>
  </r>
  <r>
    <x v="9"/>
    <s v="Laura"/>
    <s v="Moore"/>
    <s v="Female"/>
    <x v="3"/>
    <x v="9"/>
    <n v="76"/>
    <x v="2"/>
    <n v="1100"/>
    <n v="91"/>
    <n v="1909"/>
    <n v="2020"/>
    <s v="NO"/>
    <n v="52.383446830801468"/>
  </r>
  <r>
    <x v="10"/>
    <s v="Charlotte"/>
    <s v="Scott"/>
    <s v="Female"/>
    <x v="0"/>
    <x v="10"/>
    <n v="84"/>
    <x v="6"/>
    <n v="1500"/>
    <n v="94"/>
    <n v="1901"/>
    <n v="2020"/>
    <s v="YES"/>
    <n v="57.864281956864808"/>
  </r>
  <r>
    <x v="11"/>
    <s v="Logan"/>
    <s v="Cooper"/>
    <s v="Male"/>
    <x v="3"/>
    <x v="11"/>
    <n v="89"/>
    <x v="4"/>
    <n v="1750"/>
    <n v="97"/>
    <n v="1497"/>
    <n v="2021"/>
    <s v="YES"/>
    <n v="93.520374081496328"/>
  </r>
  <r>
    <x v="12"/>
    <s v="Mia"/>
    <s v="Mitchell"/>
    <s v="Female"/>
    <x v="2"/>
    <x v="12"/>
    <n v="78"/>
    <x v="1"/>
    <n v="1250"/>
    <n v="90"/>
    <n v="2059"/>
    <n v="2019"/>
    <s v="NO"/>
    <n v="38.853812530354539"/>
  </r>
  <r>
    <x v="13"/>
    <s v="Ethan"/>
    <s v="Nelson"/>
    <s v="Male"/>
    <x v="1"/>
    <x v="13"/>
    <n v="85"/>
    <x v="2"/>
    <n v="1450"/>
    <n v="93"/>
    <n v="1851"/>
    <n v="2020"/>
    <s v="NO"/>
    <n v="54.024851431658561"/>
  </r>
  <r>
    <x v="14"/>
    <s v="Emily"/>
    <s v="Brooks"/>
    <s v="Female"/>
    <x v="4"/>
    <x v="14"/>
    <n v="88"/>
    <x v="0"/>
    <n v="1600"/>
    <n v="96"/>
    <n v="1350"/>
    <n v="2021"/>
    <s v="YES"/>
    <n v="88.888888888888886"/>
  </r>
  <r>
    <x v="15"/>
    <s v="James"/>
    <s v="Foster"/>
    <s v="Male"/>
    <x v="0"/>
    <x v="15"/>
    <n v="92"/>
    <x v="8"/>
    <n v="1800"/>
    <n v="98"/>
    <n v="913"/>
    <n v="2022"/>
    <s v="YES"/>
    <n v="142.38773274917853"/>
  </r>
  <r>
    <x v="16"/>
    <s v="Victoria"/>
    <s v="Rivera"/>
    <s v="Female"/>
    <x v="1"/>
    <x v="16"/>
    <n v="81"/>
    <x v="5"/>
    <n v="1400"/>
    <n v="91"/>
    <n v="2109"/>
    <n v="2019"/>
    <s v="NO"/>
    <n v="42.674253200568991"/>
  </r>
  <r>
    <x v="17"/>
    <s v="Jackson"/>
    <s v="Diaz"/>
    <s v="Male"/>
    <x v="2"/>
    <x v="17"/>
    <n v="86"/>
    <x v="6"/>
    <n v="1550"/>
    <n v="94"/>
    <n v="1422"/>
    <n v="2021"/>
    <s v="YES"/>
    <n v="77.355836849507739"/>
  </r>
  <r>
    <x v="18"/>
    <s v="Olivia"/>
    <s v="Morris"/>
    <s v="Female"/>
    <x v="4"/>
    <x v="18"/>
    <n v="83"/>
    <x v="2"/>
    <n v="1450"/>
    <n v="92"/>
    <n v="1609"/>
    <n v="2020"/>
    <s v="NO"/>
    <n v="62.150403977625857"/>
  </r>
  <r>
    <x v="19"/>
    <s v="William"/>
    <s v="Parker"/>
    <s v="Male"/>
    <x v="0"/>
    <x v="19"/>
    <n v="90"/>
    <x v="0"/>
    <n v="1700"/>
    <n v="97"/>
    <n v="1109"/>
    <n v="2022"/>
    <s v="YES"/>
    <n v="108.20559062218216"/>
  </r>
  <r>
    <x v="20"/>
    <s v="Kevin"/>
    <s v="Adams"/>
    <s v="Male"/>
    <x v="0"/>
    <x v="20"/>
    <n v="83"/>
    <x v="5"/>
    <n v="1450"/>
    <n v="93"/>
    <n v="1293"/>
    <n v="2021"/>
    <s v="NO"/>
    <n v="69.60556844547564"/>
  </r>
  <r>
    <x v="21"/>
    <s v="Olivia"/>
    <s v="Scott"/>
    <s v="Female"/>
    <x v="1"/>
    <x v="21"/>
    <n v="88"/>
    <x v="6"/>
    <n v="1650"/>
    <n v="96"/>
    <n v="1823"/>
    <n v="2020"/>
    <s v="YES"/>
    <n v="60.340098738343393"/>
  </r>
  <r>
    <x v="22"/>
    <s v="Adam"/>
    <s v="Rodriguez"/>
    <s v="Male"/>
    <x v="2"/>
    <x v="22"/>
    <n v="77"/>
    <x v="9"/>
    <n v="1100"/>
    <n v="89"/>
    <n v="853"/>
    <n v="2022"/>
    <s v="NO"/>
    <n v="70.33997655334116"/>
  </r>
  <r>
    <x v="23"/>
    <s v="Jane"/>
    <s v="Harris"/>
    <s v="Female"/>
    <x v="0"/>
    <x v="23"/>
    <n v="85"/>
    <x v="0"/>
    <n v="1500"/>
    <n v="95"/>
    <n v="1747"/>
    <n v="2020"/>
    <s v="YES"/>
    <n v="68.689181453921009"/>
  </r>
  <r>
    <x v="24"/>
    <s v="Ethan"/>
    <s v="White"/>
    <s v="Male"/>
    <x v="3"/>
    <x v="24"/>
    <n v="90"/>
    <x v="4"/>
    <n v="1800"/>
    <n v="98"/>
    <n v="2003"/>
    <n v="2019"/>
    <s v="YES"/>
    <n v="69.895157264103844"/>
  </r>
  <r>
    <x v="25"/>
    <s v="Isabella"/>
    <s v="King"/>
    <s v="Female"/>
    <x v="4"/>
    <x v="25"/>
    <n v="81"/>
    <x v="1"/>
    <n v="1350"/>
    <n v="92"/>
    <n v="1313"/>
    <n v="2021"/>
    <s v="NO"/>
    <n v="60.929169840060929"/>
  </r>
  <r>
    <x v="26"/>
    <s v="Jason"/>
    <s v="Lewis"/>
    <s v="Male"/>
    <x v="0"/>
    <x v="26"/>
    <n v="87"/>
    <x v="2"/>
    <n v="1550"/>
    <n v="97"/>
    <n v="1843"/>
    <n v="2020"/>
    <s v="NO"/>
    <n v="54.259359739555073"/>
  </r>
  <r>
    <x v="27"/>
    <s v="Emma"/>
    <s v="Anderson"/>
    <s v="Female"/>
    <x v="1"/>
    <x v="27"/>
    <n v="84"/>
    <x v="8"/>
    <n v="1600"/>
    <n v="96"/>
    <n v="2092"/>
    <n v="2019"/>
    <s v="YES"/>
    <n v="62.141491395793501"/>
  </r>
  <r>
    <x v="28"/>
    <s v="Jack"/>
    <s v="Walker"/>
    <s v="Male"/>
    <x v="4"/>
    <x v="28"/>
    <n v="79"/>
    <x v="5"/>
    <n v="1300"/>
    <n v="91"/>
    <n v="1215"/>
    <n v="2021"/>
    <s v="NO"/>
    <n v="74.074074074074076"/>
  </r>
  <r>
    <x v="29"/>
    <s v="Amelia"/>
    <s v="Campbell"/>
    <s v="Female"/>
    <x v="2"/>
    <x v="29"/>
    <n v="91"/>
    <x v="6"/>
    <n v="1700"/>
    <n v="99"/>
    <n v="1773"/>
    <n v="2020"/>
    <s v="YES"/>
    <n v="62.041737168640722"/>
  </r>
  <r>
    <x v="30"/>
    <s v="Ryan"/>
    <s v="Morris"/>
    <s v="Male"/>
    <x v="0"/>
    <x v="30"/>
    <n v="75"/>
    <x v="7"/>
    <n v="1200"/>
    <n v="88"/>
    <n v="932"/>
    <n v="2022"/>
    <s v="NO"/>
    <n v="75.107296137339063"/>
  </r>
  <r>
    <x v="31"/>
    <s v="Sarah"/>
    <s v="Martinez"/>
    <s v="Female"/>
    <x v="3"/>
    <x v="31"/>
    <n v="92"/>
    <x v="3"/>
    <n v="1850"/>
    <n v="99"/>
    <n v="1673"/>
    <n v="2020"/>
    <s v="YES"/>
    <n v="89.659294680215183"/>
  </r>
  <r>
    <x v="32"/>
    <s v="Evan"/>
    <s v="Thompson"/>
    <s v="Male"/>
    <x v="4"/>
    <x v="32"/>
    <n v="80"/>
    <x v="2"/>
    <n v="1400"/>
    <n v="92"/>
    <n v="1966"/>
    <n v="2019"/>
    <s v="NO"/>
    <n v="50.864699898270601"/>
  </r>
  <r>
    <x v="33"/>
    <s v="Zoe"/>
    <s v="Young"/>
    <s v="Female"/>
    <x v="1"/>
    <x v="33"/>
    <n v="86"/>
    <x v="0"/>
    <n v="1500"/>
    <n v="94"/>
    <n v="1427"/>
    <n v="2021"/>
    <s v="YES"/>
    <n v="84.092501751927131"/>
  </r>
  <r>
    <x v="34"/>
    <s v="Liam"/>
    <s v="Garcia"/>
    <s v="Male"/>
    <x v="2"/>
    <x v="34"/>
    <n v="88"/>
    <x v="6"/>
    <n v="1650"/>
    <n v="96"/>
    <n v="1865"/>
    <n v="2020"/>
    <s v="YES"/>
    <n v="58.981233243967829"/>
  </r>
  <r>
    <x v="35"/>
    <s v="Ava"/>
    <s v="Nelson"/>
    <s v="Female"/>
    <x v="0"/>
    <x v="35"/>
    <n v="82"/>
    <x v="1"/>
    <n v="1350"/>
    <n v="95"/>
    <n v="1170"/>
    <n v="2022"/>
    <s v="NO"/>
    <n v="68.376068376068375"/>
  </r>
  <r>
    <x v="36"/>
    <s v="Noah"/>
    <s v="Lee"/>
    <s v="Male"/>
    <x v="3"/>
    <x v="36"/>
    <n v="89"/>
    <x v="8"/>
    <n v="1750"/>
    <n v="97"/>
    <n v="2194"/>
    <n v="2019"/>
    <s v="YES"/>
    <n v="59.252506836827706"/>
  </r>
  <r>
    <x v="37"/>
    <s v="Mia"/>
    <s v="Carter"/>
    <s v="Female"/>
    <x v="4"/>
    <x v="37"/>
    <n v="78"/>
    <x v="5"/>
    <n v="1300"/>
    <n v="91"/>
    <n v="1353"/>
    <n v="2021"/>
    <s v="NO"/>
    <n v="66.518847006651882"/>
  </r>
  <r>
    <x v="38"/>
    <s v="Lucas"/>
    <s v="Mitchell"/>
    <s v="Male"/>
    <x v="1"/>
    <x v="38"/>
    <n v="84"/>
    <x v="2"/>
    <n v="1550"/>
    <n v="93"/>
    <n v="1633"/>
    <n v="2020"/>
    <s v="NO"/>
    <n v="61.236987140232699"/>
  </r>
  <r>
    <x v="39"/>
    <s v="Grace"/>
    <s v="Perez"/>
    <s v="Female"/>
    <x v="0"/>
    <x v="39"/>
    <n v="87"/>
    <x v="0"/>
    <n v="1600"/>
    <n v="98"/>
    <n v="1016"/>
    <n v="2022"/>
    <s v="YES"/>
    <n v="118.11023622047244"/>
  </r>
  <r>
    <x v="40"/>
    <s v="Henry"/>
    <s v="Richardson"/>
    <s v="Male"/>
    <x v="0"/>
    <x v="40"/>
    <n v="83"/>
    <x v="5"/>
    <n v="1450"/>
    <n v="93"/>
    <n v="1812"/>
    <n v="2020"/>
    <s v="NO"/>
    <n v="49.668874172185433"/>
  </r>
  <r>
    <x v="41"/>
    <s v="Sophia"/>
    <s v="Torres"/>
    <s v="Female"/>
    <x v="1"/>
    <x v="41"/>
    <n v="88"/>
    <x v="2"/>
    <n v="1500"/>
    <n v="95"/>
    <n v="1543"/>
    <n v="2021"/>
    <s v="NO"/>
    <n v="64.808813998703826"/>
  </r>
  <r>
    <x v="42"/>
    <s v="William"/>
    <s v="Perez"/>
    <s v="Male"/>
    <x v="2"/>
    <x v="42"/>
    <n v="78"/>
    <x v="1"/>
    <n v="1200"/>
    <n v="89"/>
    <n v="2019"/>
    <n v="2019"/>
    <s v="NO"/>
    <n v="39.623576027736505"/>
  </r>
  <r>
    <x v="43"/>
    <s v="Emily"/>
    <s v="Rivera"/>
    <s v="Female"/>
    <x v="4"/>
    <x v="43"/>
    <n v="92"/>
    <x v="0"/>
    <n v="1650"/>
    <n v="98"/>
    <n v="989"/>
    <n v="2022"/>
    <s v="YES"/>
    <n v="121.33468149646107"/>
  </r>
  <r>
    <x v="44"/>
    <s v="Jackson"/>
    <s v="Clark"/>
    <s v="Male"/>
    <x v="3"/>
    <x v="44"/>
    <n v="85"/>
    <x v="6"/>
    <n v="1550"/>
    <n v="94"/>
    <n v="1856"/>
    <n v="2020"/>
    <s v="YES"/>
    <n v="59.267241379310342"/>
  </r>
  <r>
    <x v="45"/>
    <s v="Scarlett"/>
    <s v="Bailey"/>
    <s v="Female"/>
    <x v="0"/>
    <x v="45"/>
    <n v="90"/>
    <x v="4"/>
    <n v="1800"/>
    <n v="97"/>
    <n v="1257"/>
    <n v="2021"/>
    <s v="YES"/>
    <n v="111.37629276054098"/>
  </r>
  <r>
    <x v="46"/>
    <s v="Benjamin"/>
    <s v="Morris"/>
    <s v="Male"/>
    <x v="1"/>
    <x v="46"/>
    <n v="86"/>
    <x v="5"/>
    <n v="1500"/>
    <n v="92"/>
    <n v="2151"/>
    <n v="2019"/>
    <s v="NO"/>
    <n v="41.841004184100413"/>
  </r>
  <r>
    <x v="47"/>
    <s v="Victoria"/>
    <s v="Martinez"/>
    <s v="Female"/>
    <x v="2"/>
    <x v="47"/>
    <n v="79"/>
    <x v="7"/>
    <n v="1300"/>
    <n v="90"/>
    <n v="1763"/>
    <n v="2020"/>
    <s v="NO"/>
    <n v="39.705048213272825"/>
  </r>
  <r>
    <x v="48"/>
    <s v="Mason"/>
    <s v="Roberts"/>
    <s v="Male"/>
    <x v="4"/>
    <x v="48"/>
    <n v="82"/>
    <x v="2"/>
    <n v="1450"/>
    <n v="95"/>
    <n v="1204"/>
    <n v="2021"/>
    <s v="NO"/>
    <n v="83.056478405315616"/>
  </r>
  <r>
    <x v="49"/>
    <s v="Ava"/>
    <s v="Nelson"/>
    <s v="Female"/>
    <x v="0"/>
    <x v="49"/>
    <n v="88"/>
    <x v="6"/>
    <n v="1650"/>
    <n v="98"/>
    <n v="1108"/>
    <n v="2022"/>
    <s v="YES"/>
    <n v="99.277978339350184"/>
  </r>
  <r>
    <x v="50"/>
    <s v="Jacob"/>
    <s v="Foster"/>
    <s v="Male"/>
    <x v="3"/>
    <x v="50"/>
    <n v="89"/>
    <x v="8"/>
    <n v="1750"/>
    <n v="96"/>
    <n v="2047"/>
    <n v="2019"/>
    <s v="YES"/>
    <n v="63.507572056668295"/>
  </r>
  <r>
    <x v="51"/>
    <s v="Mia"/>
    <s v="Jenkins"/>
    <s v="Female"/>
    <x v="1"/>
    <x v="51"/>
    <n v="91"/>
    <x v="2"/>
    <n v="1600"/>
    <n v="97"/>
    <n v="1298"/>
    <n v="2021"/>
    <s v="NO"/>
    <n v="77.04160246533128"/>
  </r>
  <r>
    <x v="52"/>
    <s v="Logan"/>
    <s v="Russell"/>
    <s v="Male"/>
    <x v="2"/>
    <x v="52"/>
    <n v="83"/>
    <x v="1"/>
    <n v="1450"/>
    <n v="92"/>
    <n v="1577"/>
    <n v="2020"/>
    <s v="NO"/>
    <n v="50.729232720355107"/>
  </r>
  <r>
    <x v="53"/>
    <s v="Ella"/>
    <s v="Ward"/>
    <s v="Female"/>
    <x v="4"/>
    <x v="53"/>
    <n v="80"/>
    <x v="5"/>
    <n v="1400"/>
    <n v="93"/>
    <n v="1505"/>
    <n v="2021"/>
    <s v="NO"/>
    <n v="59.800664451827238"/>
  </r>
  <r>
    <x v="54"/>
    <s v="Samuel"/>
    <s v="Gray"/>
    <s v="Male"/>
    <x v="0"/>
    <x v="54"/>
    <n v="86"/>
    <x v="0"/>
    <n v="1550"/>
    <n v="95"/>
    <n v="1090"/>
    <n v="2022"/>
    <s v="YES"/>
    <n v="110.09174311926606"/>
  </r>
  <r>
    <x v="55"/>
    <s v="Grace"/>
    <s v="Long"/>
    <s v="Female"/>
    <x v="3"/>
    <x v="55"/>
    <n v="84"/>
    <x v="2"/>
    <n v="1500"/>
    <n v="94"/>
    <n v="1589"/>
    <n v="2020"/>
    <s v="NO"/>
    <n v="62.932662051604787"/>
  </r>
  <r>
    <x v="56"/>
    <s v="Ethan"/>
    <s v="Patterson"/>
    <s v="Male"/>
    <x v="1"/>
    <x v="56"/>
    <n v="87"/>
    <x v="6"/>
    <n v="1600"/>
    <n v="96"/>
    <n v="1330"/>
    <n v="2021"/>
    <s v="YES"/>
    <n v="82.706766917293223"/>
  </r>
  <r>
    <x v="57"/>
    <s v="Charlotte"/>
    <s v="Hughes"/>
    <s v="Female"/>
    <x v="2"/>
    <x v="57"/>
    <n v="90"/>
    <x v="8"/>
    <n v="1750"/>
    <n v="97"/>
    <n v="1035"/>
    <n v="2022"/>
    <s v="YES"/>
    <n v="125.60386473429951"/>
  </r>
  <r>
    <x v="58"/>
    <s v="James"/>
    <s v="Bryant"/>
    <s v="Male"/>
    <x v="4"/>
    <x v="58"/>
    <n v="75"/>
    <x v="1"/>
    <n v="1200"/>
    <n v="88"/>
    <n v="2088"/>
    <n v="2019"/>
    <s v="NO"/>
    <n v="38.314176245210724"/>
  </r>
  <r>
    <x v="59"/>
    <s v="Isabella"/>
    <s v="Scott"/>
    <s v="Female"/>
    <x v="0"/>
    <x v="59"/>
    <n v="92"/>
    <x v="4"/>
    <n v="1800"/>
    <n v="99"/>
    <n v="1382"/>
    <n v="2021"/>
    <s v="YES"/>
    <n v="101.30246020260492"/>
  </r>
  <r>
    <x v="60"/>
    <s v="Alexander"/>
    <s v="Torres"/>
    <s v="Male"/>
    <x v="1"/>
    <x v="60"/>
    <n v="80"/>
    <x v="2"/>
    <n v="1450"/>
    <n v="91"/>
    <n v="1643"/>
    <n v="2020"/>
    <s v="NO"/>
    <n v="60.864272671941571"/>
  </r>
  <r>
    <x v="61"/>
    <s v="Harper"/>
    <s v="Ramirez"/>
    <s v="Female"/>
    <x v="2"/>
    <x v="61"/>
    <n v="88"/>
    <x v="0"/>
    <n v="1650"/>
    <n v="96"/>
    <n v="1466"/>
    <n v="2021"/>
    <s v="YES"/>
    <n v="81.855388813096852"/>
  </r>
  <r>
    <x v="62"/>
    <s v="Jack"/>
    <s v="Flores"/>
    <s v="Male"/>
    <x v="4"/>
    <x v="62"/>
    <n v="83"/>
    <x v="5"/>
    <n v="1500"/>
    <n v="94"/>
    <n v="1136"/>
    <n v="2022"/>
    <s v="NO"/>
    <n v="79.225352112676049"/>
  </r>
  <r>
    <x v="63"/>
    <s v="Amelia"/>
    <s v="Powell"/>
    <s v="Female"/>
    <x v="3"/>
    <x v="63"/>
    <n v="89"/>
    <x v="3"/>
    <n v="1800"/>
    <n v="98"/>
    <n v="1787"/>
    <n v="2020"/>
    <s v="YES"/>
    <n v="83.939563514269722"/>
  </r>
  <r>
    <x v="64"/>
    <s v="Lucas"/>
    <s v="Stewart"/>
    <s v="Male"/>
    <x v="0"/>
    <x v="64"/>
    <n v="77"/>
    <x v="7"/>
    <n v="1200"/>
    <n v="90"/>
    <n v="1191"/>
    <n v="2021"/>
    <s v="NO"/>
    <n v="58.774139378673382"/>
  </r>
  <r>
    <x v="65"/>
    <s v="Evelyn"/>
    <s v="Sanders"/>
    <s v="Female"/>
    <x v="1"/>
    <x v="65"/>
    <n v="84"/>
    <x v="2"/>
    <n v="1500"/>
    <n v="93"/>
    <n v="898"/>
    <n v="2022"/>
    <s v="NO"/>
    <n v="111.35857461024499"/>
  </r>
  <r>
    <x v="66"/>
    <s v="Daniel"/>
    <s v="Rivera"/>
    <s v="Male"/>
    <x v="2"/>
    <x v="66"/>
    <n v="81"/>
    <x v="1"/>
    <n v="1300"/>
    <n v="89"/>
    <n v="1608"/>
    <n v="2020"/>
    <s v="NO"/>
    <n v="49.751243781094523"/>
  </r>
  <r>
    <x v="67"/>
    <s v="Victoria"/>
    <s v="Jenkins"/>
    <s v="Female"/>
    <x v="4"/>
    <x v="67"/>
    <n v="90"/>
    <x v="6"/>
    <n v="1700"/>
    <n v="97"/>
    <n v="1301"/>
    <n v="2021"/>
    <s v="YES"/>
    <n v="84.550345887778633"/>
  </r>
  <r>
    <x v="68"/>
    <s v="Joshua"/>
    <s v="Foster"/>
    <s v="Male"/>
    <x v="0"/>
    <x v="68"/>
    <n v="85"/>
    <x v="0"/>
    <n v="1600"/>
    <n v="95"/>
    <n v="1807"/>
    <n v="2020"/>
    <s v="YES"/>
    <n v="66.408411732152743"/>
  </r>
  <r>
    <x v="69"/>
    <s v="Zoey"/>
    <s v="Mitchell"/>
    <s v="Female"/>
    <x v="3"/>
    <x v="69"/>
    <n v="88"/>
    <x v="4"/>
    <n v="1750"/>
    <n v="99"/>
    <n v="1174"/>
    <n v="2022"/>
    <s v="YES"/>
    <n v="119.2504258943782"/>
  </r>
  <r>
    <x v="70"/>
    <s v="Olivia"/>
    <s v="Parker"/>
    <s v="Female"/>
    <x v="0"/>
    <x v="70"/>
    <n v="86"/>
    <x v="0"/>
    <n v="1550"/>
    <n v="94"/>
    <n v="1468"/>
    <n v="2021"/>
    <s v="YES"/>
    <n v="81.743869209809262"/>
  </r>
  <r>
    <x v="71"/>
    <s v="Andrew"/>
    <s v="Bailey"/>
    <s v="Male"/>
    <x v="3"/>
    <x v="71"/>
    <n v="90"/>
    <x v="4"/>
    <n v="1800"/>
    <n v="97"/>
    <n v="1689"/>
    <n v="2020"/>
    <s v="YES"/>
    <n v="82.889283599763175"/>
  </r>
  <r>
    <x v="10"/>
    <s v="Charlotte"/>
    <s v="Scott"/>
    <s v="Female"/>
    <x v="0"/>
    <x v="10"/>
    <n v="84"/>
    <x v="6"/>
    <n v="1500"/>
    <n v="94"/>
    <n v="1901"/>
    <n v="2020"/>
    <s v="YES"/>
    <n v="57.864281956864808"/>
  </r>
  <r>
    <x v="11"/>
    <s v="Logan"/>
    <s v="Cooper"/>
    <s v="Male"/>
    <x v="3"/>
    <x v="11"/>
    <n v="89"/>
    <x v="4"/>
    <n v="1750"/>
    <n v="97"/>
    <n v="1497"/>
    <n v="2021"/>
    <s v="YES"/>
    <n v="93.520374081496328"/>
  </r>
  <r>
    <x v="72"/>
    <s v="Ava"/>
    <s v="Evans"/>
    <s v="Female"/>
    <x v="2"/>
    <x v="72"/>
    <n v="82"/>
    <x v="5"/>
    <n v="1350"/>
    <n v="91"/>
    <n v="1004"/>
    <n v="2022"/>
    <s v="NO"/>
    <n v="89.641434262948209"/>
  </r>
  <r>
    <x v="73"/>
    <s v="Ryan"/>
    <s v="Roberts"/>
    <s v="Male"/>
    <x v="1"/>
    <x v="73"/>
    <n v="85"/>
    <x v="2"/>
    <n v="1500"/>
    <n v="95"/>
    <n v="1983"/>
    <n v="2019"/>
    <s v="NO"/>
    <n v="50.428643469490666"/>
  </r>
  <r>
    <x v="74"/>
    <s v="Lily"/>
    <s v="Morgan"/>
    <s v="Female"/>
    <x v="4"/>
    <x v="74"/>
    <n v="87"/>
    <x v="6"/>
    <n v="1600"/>
    <n v="96"/>
    <n v="1234"/>
    <n v="2021"/>
    <s v="YES"/>
    <n v="89.141004862236628"/>
  </r>
  <r>
    <x v="75"/>
    <s v="Ethan"/>
    <s v="Rogers"/>
    <s v="Male"/>
    <x v="0"/>
    <x v="75"/>
    <n v="89"/>
    <x v="8"/>
    <n v="1750"/>
    <n v="98"/>
    <n v="1795"/>
    <n v="2020"/>
    <s v="YES"/>
    <n v="72.423398328690809"/>
  </r>
  <r>
    <x v="76"/>
    <s v="Isabella"/>
    <s v="Bell"/>
    <s v="Female"/>
    <x v="1"/>
    <x v="76"/>
    <n v="91"/>
    <x v="0"/>
    <n v="1700"/>
    <n v="97"/>
    <n v="1306"/>
    <n v="2021"/>
    <s v="YES"/>
    <n v="91.883614088820835"/>
  </r>
  <r>
    <x v="77"/>
    <s v="Jackson"/>
    <s v="Rivera"/>
    <s v="Male"/>
    <x v="2"/>
    <x v="29"/>
    <n v="78"/>
    <x v="1"/>
    <n v="1300"/>
    <n v="89"/>
    <n v="1773"/>
    <n v="2020"/>
    <s v="NO"/>
    <n v="45.121263395375074"/>
  </r>
  <r>
    <x v="78"/>
    <s v="Mia"/>
    <s v="Carter"/>
    <s v="Female"/>
    <x v="4"/>
    <x v="77"/>
    <n v="84"/>
    <x v="5"/>
    <n v="1450"/>
    <n v="93"/>
    <n v="1143"/>
    <n v="2022"/>
    <s v="NO"/>
    <n v="78.740157480314963"/>
  </r>
  <r>
    <x v="79"/>
    <s v="James"/>
    <s v="Foster"/>
    <s v="Male"/>
    <x v="0"/>
    <x v="78"/>
    <n v="88"/>
    <x v="6"/>
    <n v="1650"/>
    <n v="96"/>
    <n v="2080"/>
    <n v="2019"/>
    <s v="YES"/>
    <n v="52.884615384615387"/>
  </r>
  <r>
    <x v="80"/>
    <s v="Emma"/>
    <s v="Morris"/>
    <s v="Female"/>
    <x v="3"/>
    <x v="79"/>
    <n v="83"/>
    <x v="2"/>
    <n v="1450"/>
    <n v="92"/>
    <n v="1452"/>
    <n v="2021"/>
    <s v="NO"/>
    <n v="68.870523415977956"/>
  </r>
  <r>
    <x v="81"/>
    <s v="Liam"/>
    <s v="Cook"/>
    <s v="Male"/>
    <x v="1"/>
    <x v="80"/>
    <n v="89"/>
    <x v="8"/>
    <n v="1750"/>
    <n v="98"/>
    <n v="1562"/>
    <n v="2020"/>
    <s v="YES"/>
    <n v="83.226632522407172"/>
  </r>
  <r>
    <x v="82"/>
    <s v="Charlotte"/>
    <s v="Brooks"/>
    <s v="Female"/>
    <x v="2"/>
    <x v="81"/>
    <n v="90"/>
    <x v="0"/>
    <n v="1700"/>
    <n v="97"/>
    <n v="1254"/>
    <n v="2021"/>
    <s v="YES"/>
    <n v="95.693779904306211"/>
  </r>
  <r>
    <x v="83"/>
    <s v="Noah"/>
    <s v="Russell"/>
    <s v="Male"/>
    <x v="4"/>
    <x v="82"/>
    <n v="79"/>
    <x v="1"/>
    <n v="1350"/>
    <n v="90"/>
    <n v="1717"/>
    <n v="2020"/>
    <s v="NO"/>
    <n v="46.592894583576005"/>
  </r>
  <r>
    <x v="84"/>
    <s v="Grace"/>
    <s v="Hughes"/>
    <s v="Female"/>
    <x v="0"/>
    <x v="83"/>
    <n v="85"/>
    <x v="5"/>
    <n v="1500"/>
    <n v="93"/>
    <n v="1098"/>
    <n v="2022"/>
    <s v="NO"/>
    <n v="81.967213114754102"/>
  </r>
  <r>
    <x v="85"/>
    <s v="Logan"/>
    <s v="Jenkins"/>
    <s v="Male"/>
    <x v="3"/>
    <x v="84"/>
    <n v="92"/>
    <x v="3"/>
    <n v="1800"/>
    <n v="99"/>
    <n v="2035"/>
    <n v="2019"/>
    <s v="YES"/>
    <n v="73.710073710073715"/>
  </r>
  <r>
    <x v="86"/>
    <s v="Victoria"/>
    <s v="Peterson"/>
    <s v="Female"/>
    <x v="1"/>
    <x v="85"/>
    <n v="83"/>
    <x v="2"/>
    <n v="1450"/>
    <n v="94"/>
    <n v="1503"/>
    <n v="2021"/>
    <s v="NO"/>
    <n v="66.533599467731207"/>
  </r>
  <r>
    <x v="87"/>
    <s v="Benjamin"/>
    <s v="Cooper"/>
    <s v="Male"/>
    <x v="2"/>
    <x v="86"/>
    <n v="81"/>
    <x v="1"/>
    <n v="1350"/>
    <n v="91"/>
    <n v="1755"/>
    <n v="2020"/>
    <s v="NO"/>
    <n v="45.584045584045583"/>
  </r>
  <r>
    <x v="88"/>
    <s v="Ava"/>
    <s v="Perez"/>
    <s v="Female"/>
    <x v="4"/>
    <x v="87"/>
    <n v="90"/>
    <x v="6"/>
    <n v="1700"/>
    <n v="96"/>
    <n v="856"/>
    <n v="2022"/>
    <s v="YES"/>
    <n v="128.50467289719626"/>
  </r>
  <r>
    <x v="89"/>
    <s v="William"/>
    <s v="Murphy"/>
    <s v="Male"/>
    <x v="0"/>
    <x v="71"/>
    <n v="89"/>
    <x v="4"/>
    <n v="1750"/>
    <n v="98"/>
    <n v="1689"/>
    <n v="2020"/>
    <s v="YES"/>
    <n v="82.889283599763175"/>
  </r>
  <r>
    <x v="90"/>
    <s v="Emily"/>
    <s v="Cooper"/>
    <s v="Female"/>
    <x v="3"/>
    <x v="88"/>
    <n v="87"/>
    <x v="0"/>
    <n v="1600"/>
    <n v="97"/>
    <n v="1361"/>
    <n v="2021"/>
    <s v="YES"/>
    <n v="88.170462894930196"/>
  </r>
  <r>
    <x v="91"/>
    <s v="Lucas"/>
    <s v="Turner"/>
    <s v="Male"/>
    <x v="1"/>
    <x v="89"/>
    <n v="82"/>
    <x v="5"/>
    <n v="1450"/>
    <n v="92"/>
    <n v="1973"/>
    <n v="2019"/>
    <s v="NO"/>
    <n v="45.615813482007098"/>
  </r>
  <r>
    <x v="92"/>
    <s v="Isabella"/>
    <s v="Scott"/>
    <s v="Female"/>
    <x v="2"/>
    <x v="90"/>
    <n v="88"/>
    <x v="2"/>
    <n v="1650"/>
    <n v="95"/>
    <n v="1490"/>
    <n v="2021"/>
    <s v="NO"/>
    <n v="67.114093959731548"/>
  </r>
  <r>
    <x v="93"/>
    <s v="Ethan"/>
    <s v="Diaz"/>
    <s v="Male"/>
    <x v="4"/>
    <x v="91"/>
    <n v="91"/>
    <x v="8"/>
    <n v="1750"/>
    <n v="98"/>
    <n v="1766"/>
    <n v="2020"/>
    <s v="YES"/>
    <n v="73.612684031710074"/>
  </r>
  <r>
    <x v="94"/>
    <s v="Harper"/>
    <s v="Phillips"/>
    <s v="Female"/>
    <x v="0"/>
    <x v="92"/>
    <n v="83"/>
    <x v="5"/>
    <n v="1500"/>
    <n v="94"/>
    <n v="1081"/>
    <n v="2022"/>
    <s v="NO"/>
    <n v="83.256244218316382"/>
  </r>
  <r>
    <x v="95"/>
    <s v="Jack"/>
    <s v="Ward"/>
    <s v="Male"/>
    <x v="3"/>
    <x v="93"/>
    <n v="85"/>
    <x v="6"/>
    <n v="1600"/>
    <n v="96"/>
    <n v="2225"/>
    <n v="2019"/>
    <s v="YES"/>
    <n v="49.438202247191008"/>
  </r>
  <r>
    <x v="96"/>
    <s v="Amelia"/>
    <s v="Stewart"/>
    <s v="Female"/>
    <x v="1"/>
    <x v="94"/>
    <n v="80"/>
    <x v="7"/>
    <n v="1300"/>
    <n v="90"/>
    <n v="1228"/>
    <n v="2021"/>
    <s v="NO"/>
    <n v="57.00325732899023"/>
  </r>
  <r>
    <x v="97"/>
    <s v="Daniel"/>
    <s v="Nguyen"/>
    <s v="Male"/>
    <x v="2"/>
    <x v="95"/>
    <n v="79"/>
    <x v="1"/>
    <n v="1400"/>
    <n v="89"/>
    <n v="1575"/>
    <n v="2020"/>
    <s v="NO"/>
    <n v="50.793650793650791"/>
  </r>
  <r>
    <x v="98"/>
    <s v="Abigail"/>
    <s v="Lopez"/>
    <s v="Female"/>
    <x v="4"/>
    <x v="96"/>
    <n v="88"/>
    <x v="2"/>
    <n v="1650"/>
    <n v="95"/>
    <n v="974"/>
    <n v="2022"/>
    <s v="NO"/>
    <n v="102.6694045174538"/>
  </r>
  <r>
    <x v="99"/>
    <s v="Samuel"/>
    <s v="Carter"/>
    <s v="Male"/>
    <x v="0"/>
    <x v="97"/>
    <n v="92"/>
    <x v="4"/>
    <n v="1800"/>
    <n v="99"/>
    <n v="1386"/>
    <n v="2021"/>
    <s v="YES"/>
    <n v="101.01010101010102"/>
  </r>
  <r>
    <x v="100"/>
    <m/>
    <m/>
    <m/>
    <x v="5"/>
    <x v="98"/>
    <n v="88.5"/>
    <x v="10"/>
    <n v="157300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  <s v="John"/>
    <s v="Smith"/>
    <x v="0"/>
    <x v="0"/>
    <d v="2021-02-15T00:00:00"/>
    <n v="85"/>
    <n v="12"/>
    <n v="1500"/>
    <n v="95"/>
    <n v="1504"/>
    <n v="2021"/>
    <x v="0"/>
    <x v="0"/>
  </r>
  <r>
    <x v="1"/>
    <s v="Emily"/>
    <s v="Johnson"/>
    <x v="1"/>
    <x v="1"/>
    <d v="2022-05-10T00:00:00"/>
    <n v="90"/>
    <n v="8"/>
    <n v="1800"/>
    <n v="98"/>
    <n v="1055"/>
    <n v="2022"/>
    <x v="1"/>
    <x v="1"/>
  </r>
  <r>
    <x v="2"/>
    <s v="David"/>
    <s v="Lee"/>
    <x v="0"/>
    <x v="2"/>
    <d v="2020-07-20T00:00:00"/>
    <n v="75"/>
    <n v="10"/>
    <n v="1200"/>
    <n v="92"/>
    <n v="1714"/>
    <n v="2020"/>
    <x v="1"/>
    <x v="2"/>
  </r>
  <r>
    <x v="3"/>
    <s v="Sarah"/>
    <s v="Brown"/>
    <x v="1"/>
    <x v="0"/>
    <d v="2019-12-05T00:00:00"/>
    <n v="88"/>
    <n v="15"/>
    <n v="2000"/>
    <n v="97"/>
    <n v="1942"/>
    <n v="2019"/>
    <x v="0"/>
    <x v="3"/>
  </r>
  <r>
    <x v="4"/>
    <s v="Daniel"/>
    <s v="Williams"/>
    <x v="0"/>
    <x v="3"/>
    <d v="2021-01-18T00:00:00"/>
    <n v="93"/>
    <n v="14"/>
    <n v="1750"/>
    <n v="99"/>
    <n v="1532"/>
    <n v="2021"/>
    <x v="0"/>
    <x v="4"/>
  </r>
  <r>
    <x v="5"/>
    <s v="Anna"/>
    <s v="Garcia"/>
    <x v="1"/>
    <x v="1"/>
    <d v="2020-08-22T00:00:00"/>
    <n v="80"/>
    <n v="9"/>
    <n v="1300"/>
    <n v="94"/>
    <n v="1681"/>
    <n v="2020"/>
    <x v="1"/>
    <x v="5"/>
  </r>
  <r>
    <x v="6"/>
    <s v="Michael"/>
    <s v="Martinez"/>
    <x v="0"/>
    <x v="4"/>
    <d v="2021-03-14T00:00:00"/>
    <n v="82"/>
    <n v="11"/>
    <n v="1400"/>
    <n v="96"/>
    <n v="1477"/>
    <n v="2021"/>
    <x v="0"/>
    <x v="6"/>
  </r>
  <r>
    <x v="7"/>
    <s v="Chloe"/>
    <s v="Miller"/>
    <x v="1"/>
    <x v="0"/>
    <d v="2022-06-11T00:00:00"/>
    <n v="91"/>
    <n v="7"/>
    <n v="1600"/>
    <n v="99"/>
    <n v="1023"/>
    <n v="2022"/>
    <x v="1"/>
    <x v="7"/>
  </r>
  <r>
    <x v="8"/>
    <s v="Chris"/>
    <s v="Wilson"/>
    <x v="0"/>
    <x v="2"/>
    <d v="2019-10-01T00:00:00"/>
    <n v="89"/>
    <n v="13"/>
    <n v="1550"/>
    <n v="98"/>
    <n v="2007"/>
    <n v="2019"/>
    <x v="0"/>
    <x v="8"/>
  </r>
  <r>
    <x v="9"/>
    <s v="Laura"/>
    <s v="Moore"/>
    <x v="1"/>
    <x v="3"/>
    <d v="2020-01-07T00:00:00"/>
    <n v="76"/>
    <n v="10"/>
    <n v="1100"/>
    <n v="91"/>
    <n v="1909"/>
    <n v="2020"/>
    <x v="1"/>
    <x v="9"/>
  </r>
  <r>
    <x v="10"/>
    <s v="Charlotte"/>
    <s v="Scott"/>
    <x v="1"/>
    <x v="0"/>
    <d v="2020-01-15T00:00:00"/>
    <n v="84"/>
    <n v="11"/>
    <n v="1500"/>
    <n v="94"/>
    <n v="1901"/>
    <n v="2020"/>
    <x v="0"/>
    <x v="10"/>
  </r>
  <r>
    <x v="11"/>
    <s v="Logan"/>
    <s v="Cooper"/>
    <x v="0"/>
    <x v="3"/>
    <d v="2021-02-22T00:00:00"/>
    <n v="89"/>
    <n v="14"/>
    <n v="1750"/>
    <n v="97"/>
    <n v="1497"/>
    <n v="2021"/>
    <x v="0"/>
    <x v="11"/>
  </r>
  <r>
    <x v="12"/>
    <s v="Mia"/>
    <s v="Mitchell"/>
    <x v="1"/>
    <x v="2"/>
    <d v="2019-08-10T00:00:00"/>
    <n v="78"/>
    <n v="8"/>
    <n v="1250"/>
    <n v="90"/>
    <n v="2059"/>
    <n v="2019"/>
    <x v="1"/>
    <x v="12"/>
  </r>
  <r>
    <x v="13"/>
    <s v="Ethan"/>
    <s v="Nelson"/>
    <x v="0"/>
    <x v="1"/>
    <d v="2020-03-05T00:00:00"/>
    <n v="85"/>
    <n v="10"/>
    <n v="1450"/>
    <n v="93"/>
    <n v="1851"/>
    <n v="2020"/>
    <x v="1"/>
    <x v="13"/>
  </r>
  <r>
    <x v="14"/>
    <s v="Emily"/>
    <s v="Brooks"/>
    <x v="1"/>
    <x v="4"/>
    <d v="2021-07-19T00:00:00"/>
    <n v="88"/>
    <n v="12"/>
    <n v="1600"/>
    <n v="96"/>
    <n v="1350"/>
    <n v="2021"/>
    <x v="0"/>
    <x v="14"/>
  </r>
  <r>
    <x v="15"/>
    <s v="James"/>
    <s v="Foster"/>
    <x v="0"/>
    <x v="0"/>
    <d v="2022-09-29T00:00:00"/>
    <n v="92"/>
    <n v="13"/>
    <n v="1800"/>
    <n v="98"/>
    <n v="913"/>
    <n v="2022"/>
    <x v="0"/>
    <x v="15"/>
  </r>
  <r>
    <x v="16"/>
    <s v="Victoria"/>
    <s v="Rivera"/>
    <x v="1"/>
    <x v="1"/>
    <d v="2019-06-21T00:00:00"/>
    <n v="81"/>
    <n v="9"/>
    <n v="1400"/>
    <n v="91"/>
    <n v="2109"/>
    <n v="2019"/>
    <x v="1"/>
    <x v="16"/>
  </r>
  <r>
    <x v="17"/>
    <s v="Jackson"/>
    <s v="Diaz"/>
    <x v="0"/>
    <x v="2"/>
    <d v="2021-05-08T00:00:00"/>
    <n v="86"/>
    <n v="11"/>
    <n v="1550"/>
    <n v="94"/>
    <n v="1422"/>
    <n v="2021"/>
    <x v="0"/>
    <x v="17"/>
  </r>
  <r>
    <x v="18"/>
    <s v="Olivia"/>
    <s v="Morris"/>
    <x v="1"/>
    <x v="4"/>
    <d v="2020-11-02T00:00:00"/>
    <n v="83"/>
    <n v="10"/>
    <n v="1450"/>
    <n v="92"/>
    <n v="1609"/>
    <n v="2020"/>
    <x v="1"/>
    <x v="18"/>
  </r>
  <r>
    <x v="19"/>
    <s v="William"/>
    <s v="Parker"/>
    <x v="0"/>
    <x v="0"/>
    <d v="2022-03-17T00:00:00"/>
    <n v="90"/>
    <n v="12"/>
    <n v="1700"/>
    <n v="97"/>
    <n v="1109"/>
    <n v="2022"/>
    <x v="0"/>
    <x v="19"/>
  </r>
  <r>
    <x v="20"/>
    <s v="Kevin"/>
    <s v="Adams"/>
    <x v="0"/>
    <x v="0"/>
    <d v="2021-09-14T00:00:00"/>
    <n v="83"/>
    <n v="9"/>
    <n v="1450"/>
    <n v="93"/>
    <n v="1293"/>
    <n v="2021"/>
    <x v="1"/>
    <x v="20"/>
  </r>
  <r>
    <x v="21"/>
    <s v="Olivia"/>
    <s v="Scott"/>
    <x v="1"/>
    <x v="1"/>
    <d v="2020-04-02T00:00:00"/>
    <n v="88"/>
    <n v="11"/>
    <n v="1650"/>
    <n v="96"/>
    <n v="1823"/>
    <n v="2020"/>
    <x v="0"/>
    <x v="21"/>
  </r>
  <r>
    <x v="22"/>
    <s v="Adam"/>
    <s v="Rodriguez"/>
    <x v="0"/>
    <x v="2"/>
    <d v="2022-11-28T00:00:00"/>
    <n v="77"/>
    <n v="6"/>
    <n v="1100"/>
    <n v="89"/>
    <n v="853"/>
    <n v="2022"/>
    <x v="1"/>
    <x v="22"/>
  </r>
  <r>
    <x v="23"/>
    <s v="Jane"/>
    <s v="Harris"/>
    <x v="1"/>
    <x v="0"/>
    <d v="2020-06-17T00:00:00"/>
    <n v="85"/>
    <n v="12"/>
    <n v="1500"/>
    <n v="95"/>
    <n v="1747"/>
    <n v="2020"/>
    <x v="0"/>
    <x v="23"/>
  </r>
  <r>
    <x v="24"/>
    <s v="Ethan"/>
    <s v="White"/>
    <x v="0"/>
    <x v="3"/>
    <d v="2019-10-05T00:00:00"/>
    <n v="90"/>
    <n v="14"/>
    <n v="1800"/>
    <n v="98"/>
    <n v="2003"/>
    <n v="2019"/>
    <x v="0"/>
    <x v="24"/>
  </r>
  <r>
    <x v="25"/>
    <s v="Isabella"/>
    <s v="King"/>
    <x v="1"/>
    <x v="4"/>
    <d v="2021-08-25T00:00:00"/>
    <n v="81"/>
    <n v="8"/>
    <n v="1350"/>
    <n v="92"/>
    <n v="1313"/>
    <n v="2021"/>
    <x v="1"/>
    <x v="25"/>
  </r>
  <r>
    <x v="26"/>
    <s v="Jason"/>
    <s v="Lewis"/>
    <x v="0"/>
    <x v="0"/>
    <d v="2020-03-13T00:00:00"/>
    <n v="87"/>
    <n v="10"/>
    <n v="1550"/>
    <n v="97"/>
    <n v="1843"/>
    <n v="2020"/>
    <x v="1"/>
    <x v="26"/>
  </r>
  <r>
    <x v="27"/>
    <s v="Emma"/>
    <s v="Anderson"/>
    <x v="1"/>
    <x v="1"/>
    <d v="2019-07-08T00:00:00"/>
    <n v="84"/>
    <n v="13"/>
    <n v="1600"/>
    <n v="96"/>
    <n v="2092"/>
    <n v="2019"/>
    <x v="0"/>
    <x v="27"/>
  </r>
  <r>
    <x v="28"/>
    <s v="Jack"/>
    <s v="Walker"/>
    <x v="0"/>
    <x v="4"/>
    <d v="2021-12-01T00:00:00"/>
    <n v="79"/>
    <n v="9"/>
    <n v="1300"/>
    <n v="91"/>
    <n v="1215"/>
    <n v="2021"/>
    <x v="1"/>
    <x v="28"/>
  </r>
  <r>
    <x v="29"/>
    <s v="Amelia"/>
    <s v="Campbell"/>
    <x v="1"/>
    <x v="2"/>
    <d v="2020-05-22T00:00:00"/>
    <n v="91"/>
    <n v="11"/>
    <n v="1700"/>
    <n v="99"/>
    <n v="1773"/>
    <n v="2020"/>
    <x v="0"/>
    <x v="29"/>
  </r>
  <r>
    <x v="30"/>
    <s v="Ryan"/>
    <s v="Morris"/>
    <x v="0"/>
    <x v="0"/>
    <d v="2022-09-10T00:00:00"/>
    <n v="75"/>
    <n v="7"/>
    <n v="1200"/>
    <n v="88"/>
    <n v="932"/>
    <n v="2022"/>
    <x v="1"/>
    <x v="30"/>
  </r>
  <r>
    <x v="31"/>
    <s v="Sarah"/>
    <s v="Martinez"/>
    <x v="1"/>
    <x v="3"/>
    <d v="2020-08-30T00:00:00"/>
    <n v="92"/>
    <n v="15"/>
    <n v="1850"/>
    <n v="99"/>
    <n v="1673"/>
    <n v="2020"/>
    <x v="0"/>
    <x v="31"/>
  </r>
  <r>
    <x v="32"/>
    <s v="Evan"/>
    <s v="Thompson"/>
    <x v="0"/>
    <x v="4"/>
    <d v="2019-11-11T00:00:00"/>
    <n v="80"/>
    <n v="10"/>
    <n v="1400"/>
    <n v="92"/>
    <n v="1966"/>
    <n v="2019"/>
    <x v="1"/>
    <x v="32"/>
  </r>
  <r>
    <x v="33"/>
    <s v="Zoe"/>
    <s v="Young"/>
    <x v="1"/>
    <x v="1"/>
    <d v="2021-05-03T00:00:00"/>
    <n v="86"/>
    <n v="12"/>
    <n v="1500"/>
    <n v="94"/>
    <n v="1427"/>
    <n v="2021"/>
    <x v="0"/>
    <x v="33"/>
  </r>
  <r>
    <x v="34"/>
    <s v="Liam"/>
    <s v="Garcia"/>
    <x v="0"/>
    <x v="2"/>
    <d v="2020-02-20T00:00:00"/>
    <n v="88"/>
    <n v="11"/>
    <n v="1650"/>
    <n v="96"/>
    <n v="1865"/>
    <n v="2020"/>
    <x v="0"/>
    <x v="34"/>
  </r>
  <r>
    <x v="35"/>
    <s v="Ava"/>
    <s v="Nelson"/>
    <x v="1"/>
    <x v="0"/>
    <d v="2022-01-15T00:00:00"/>
    <n v="82"/>
    <n v="8"/>
    <n v="1350"/>
    <n v="95"/>
    <n v="1170"/>
    <n v="2022"/>
    <x v="1"/>
    <x v="35"/>
  </r>
  <r>
    <x v="36"/>
    <s v="Noah"/>
    <s v="Lee"/>
    <x v="0"/>
    <x v="3"/>
    <d v="2019-03-28T00:00:00"/>
    <n v="89"/>
    <n v="13"/>
    <n v="1750"/>
    <n v="97"/>
    <n v="2194"/>
    <n v="2019"/>
    <x v="0"/>
    <x v="36"/>
  </r>
  <r>
    <x v="37"/>
    <s v="Mia"/>
    <s v="Carter"/>
    <x v="1"/>
    <x v="4"/>
    <d v="2021-07-16T00:00:00"/>
    <n v="78"/>
    <n v="9"/>
    <n v="1300"/>
    <n v="91"/>
    <n v="1353"/>
    <n v="2021"/>
    <x v="1"/>
    <x v="37"/>
  </r>
  <r>
    <x v="38"/>
    <s v="Lucas"/>
    <s v="Mitchell"/>
    <x v="0"/>
    <x v="1"/>
    <d v="2020-10-09T00:00:00"/>
    <n v="84"/>
    <n v="10"/>
    <n v="1550"/>
    <n v="93"/>
    <n v="1633"/>
    <n v="2020"/>
    <x v="1"/>
    <x v="38"/>
  </r>
  <r>
    <x v="39"/>
    <s v="Grace"/>
    <s v="Perez"/>
    <x v="1"/>
    <x v="0"/>
    <d v="2022-06-18T00:00:00"/>
    <n v="87"/>
    <n v="12"/>
    <n v="1600"/>
    <n v="98"/>
    <n v="1016"/>
    <n v="2022"/>
    <x v="0"/>
    <x v="39"/>
  </r>
  <r>
    <x v="40"/>
    <s v="Henry"/>
    <s v="Richardson"/>
    <x v="0"/>
    <x v="0"/>
    <d v="2020-04-13T00:00:00"/>
    <n v="83"/>
    <n v="9"/>
    <n v="1450"/>
    <n v="93"/>
    <n v="1812"/>
    <n v="2020"/>
    <x v="1"/>
    <x v="40"/>
  </r>
  <r>
    <x v="41"/>
    <s v="Sophia"/>
    <s v="Torres"/>
    <x v="1"/>
    <x v="1"/>
    <d v="2021-01-07T00:00:00"/>
    <n v="88"/>
    <n v="10"/>
    <n v="1500"/>
    <n v="95"/>
    <n v="1543"/>
    <n v="2021"/>
    <x v="1"/>
    <x v="41"/>
  </r>
  <r>
    <x v="42"/>
    <s v="William"/>
    <s v="Perez"/>
    <x v="0"/>
    <x v="2"/>
    <d v="2019-09-19T00:00:00"/>
    <n v="78"/>
    <n v="8"/>
    <n v="1200"/>
    <n v="89"/>
    <n v="2019"/>
    <n v="2019"/>
    <x v="1"/>
    <x v="42"/>
  </r>
  <r>
    <x v="43"/>
    <s v="Emily"/>
    <s v="Rivera"/>
    <x v="1"/>
    <x v="4"/>
    <d v="2022-07-15T00:00:00"/>
    <n v="92"/>
    <n v="12"/>
    <n v="1650"/>
    <n v="98"/>
    <n v="989"/>
    <n v="2022"/>
    <x v="0"/>
    <x v="43"/>
  </r>
  <r>
    <x v="44"/>
    <s v="Jackson"/>
    <s v="Clark"/>
    <x v="0"/>
    <x v="3"/>
    <d v="2020-02-29T00:00:00"/>
    <n v="85"/>
    <n v="11"/>
    <n v="1550"/>
    <n v="94"/>
    <n v="1856"/>
    <n v="2020"/>
    <x v="0"/>
    <x v="44"/>
  </r>
  <r>
    <x v="45"/>
    <s v="Scarlett"/>
    <s v="Bailey"/>
    <x v="1"/>
    <x v="0"/>
    <d v="2021-10-20T00:00:00"/>
    <n v="90"/>
    <n v="14"/>
    <n v="1800"/>
    <n v="97"/>
    <n v="1257"/>
    <n v="2021"/>
    <x v="0"/>
    <x v="45"/>
  </r>
  <r>
    <x v="46"/>
    <s v="Benjamin"/>
    <s v="Morris"/>
    <x v="0"/>
    <x v="1"/>
    <d v="2019-05-10T00:00:00"/>
    <n v="86"/>
    <n v="9"/>
    <n v="1500"/>
    <n v="92"/>
    <n v="2151"/>
    <n v="2019"/>
    <x v="1"/>
    <x v="46"/>
  </r>
  <r>
    <x v="47"/>
    <s v="Victoria"/>
    <s v="Martinez"/>
    <x v="1"/>
    <x v="2"/>
    <d v="2020-06-01T00:00:00"/>
    <n v="79"/>
    <n v="7"/>
    <n v="1300"/>
    <n v="90"/>
    <n v="1763"/>
    <n v="2020"/>
    <x v="1"/>
    <x v="47"/>
  </r>
  <r>
    <x v="48"/>
    <s v="Mason"/>
    <s v="Roberts"/>
    <x v="0"/>
    <x v="4"/>
    <d v="2021-12-12T00:00:00"/>
    <n v="82"/>
    <n v="10"/>
    <n v="1450"/>
    <n v="95"/>
    <n v="1204"/>
    <n v="2021"/>
    <x v="1"/>
    <x v="48"/>
  </r>
  <r>
    <x v="49"/>
    <s v="Ava"/>
    <s v="Nelson"/>
    <x v="1"/>
    <x v="0"/>
    <d v="2022-03-18T00:00:00"/>
    <n v="88"/>
    <n v="11"/>
    <n v="1650"/>
    <n v="98"/>
    <n v="1108"/>
    <n v="2022"/>
    <x v="0"/>
    <x v="49"/>
  </r>
  <r>
    <x v="50"/>
    <s v="Jacob"/>
    <s v="Foster"/>
    <x v="0"/>
    <x v="3"/>
    <d v="2019-08-22T00:00:00"/>
    <n v="89"/>
    <n v="13"/>
    <n v="1750"/>
    <n v="96"/>
    <n v="2047"/>
    <n v="2019"/>
    <x v="0"/>
    <x v="50"/>
  </r>
  <r>
    <x v="51"/>
    <s v="Mia"/>
    <s v="Jenkins"/>
    <x v="1"/>
    <x v="1"/>
    <d v="2021-09-09T00:00:00"/>
    <n v="91"/>
    <n v="10"/>
    <n v="1600"/>
    <n v="97"/>
    <n v="1298"/>
    <n v="2021"/>
    <x v="1"/>
    <x v="51"/>
  </r>
  <r>
    <x v="52"/>
    <s v="Logan"/>
    <s v="Russell"/>
    <x v="0"/>
    <x v="2"/>
    <d v="2020-12-04T00:00:00"/>
    <n v="83"/>
    <n v="8"/>
    <n v="1450"/>
    <n v="92"/>
    <n v="1577"/>
    <n v="2020"/>
    <x v="1"/>
    <x v="52"/>
  </r>
  <r>
    <x v="53"/>
    <s v="Ella"/>
    <s v="Ward"/>
    <x v="1"/>
    <x v="4"/>
    <d v="2021-02-14T00:00:00"/>
    <n v="80"/>
    <n v="9"/>
    <n v="1400"/>
    <n v="93"/>
    <n v="1505"/>
    <n v="2021"/>
    <x v="1"/>
    <x v="53"/>
  </r>
  <r>
    <x v="54"/>
    <s v="Samuel"/>
    <s v="Gray"/>
    <x v="0"/>
    <x v="0"/>
    <d v="2022-04-05T00:00:00"/>
    <n v="86"/>
    <n v="12"/>
    <n v="1550"/>
    <n v="95"/>
    <n v="1090"/>
    <n v="2022"/>
    <x v="0"/>
    <x v="54"/>
  </r>
  <r>
    <x v="55"/>
    <s v="Grace"/>
    <s v="Long"/>
    <x v="1"/>
    <x v="3"/>
    <d v="2020-11-22T00:00:00"/>
    <n v="84"/>
    <n v="10"/>
    <n v="1500"/>
    <n v="94"/>
    <n v="1589"/>
    <n v="2020"/>
    <x v="1"/>
    <x v="55"/>
  </r>
  <r>
    <x v="56"/>
    <s v="Ethan"/>
    <s v="Patterson"/>
    <x v="0"/>
    <x v="1"/>
    <d v="2021-08-08T00:00:00"/>
    <n v="87"/>
    <n v="11"/>
    <n v="1600"/>
    <n v="96"/>
    <n v="1330"/>
    <n v="2021"/>
    <x v="0"/>
    <x v="56"/>
  </r>
  <r>
    <x v="57"/>
    <s v="Charlotte"/>
    <s v="Hughes"/>
    <x v="1"/>
    <x v="2"/>
    <d v="2022-05-30T00:00:00"/>
    <n v="90"/>
    <n v="13"/>
    <n v="1750"/>
    <n v="97"/>
    <n v="1035"/>
    <n v="2022"/>
    <x v="0"/>
    <x v="57"/>
  </r>
  <r>
    <x v="58"/>
    <s v="James"/>
    <s v="Bryant"/>
    <x v="0"/>
    <x v="4"/>
    <d v="2019-07-12T00:00:00"/>
    <n v="75"/>
    <n v="8"/>
    <n v="1200"/>
    <n v="88"/>
    <n v="2088"/>
    <n v="2019"/>
    <x v="1"/>
    <x v="58"/>
  </r>
  <r>
    <x v="59"/>
    <s v="Isabella"/>
    <s v="Scott"/>
    <x v="1"/>
    <x v="0"/>
    <d v="2021-06-17T00:00:00"/>
    <n v="92"/>
    <n v="14"/>
    <n v="1800"/>
    <n v="99"/>
    <n v="1382"/>
    <n v="2021"/>
    <x v="0"/>
    <x v="59"/>
  </r>
  <r>
    <x v="60"/>
    <s v="Alexander"/>
    <s v="Torres"/>
    <x v="0"/>
    <x v="1"/>
    <d v="2020-09-29T00:00:00"/>
    <n v="80"/>
    <n v="10"/>
    <n v="1450"/>
    <n v="91"/>
    <n v="1643"/>
    <n v="2020"/>
    <x v="1"/>
    <x v="60"/>
  </r>
  <r>
    <x v="61"/>
    <s v="Harper"/>
    <s v="Ramirez"/>
    <x v="1"/>
    <x v="2"/>
    <d v="2021-03-25T00:00:00"/>
    <n v="88"/>
    <n v="12"/>
    <n v="1650"/>
    <n v="96"/>
    <n v="1466"/>
    <n v="2021"/>
    <x v="0"/>
    <x v="61"/>
  </r>
  <r>
    <x v="62"/>
    <s v="Jack"/>
    <s v="Flores"/>
    <x v="0"/>
    <x v="4"/>
    <d v="2022-02-18T00:00:00"/>
    <n v="83"/>
    <n v="9"/>
    <n v="1500"/>
    <n v="94"/>
    <n v="1136"/>
    <n v="2022"/>
    <x v="1"/>
    <x v="62"/>
  </r>
  <r>
    <x v="63"/>
    <s v="Amelia"/>
    <s v="Powell"/>
    <x v="1"/>
    <x v="3"/>
    <d v="2020-05-08T00:00:00"/>
    <n v="89"/>
    <n v="15"/>
    <n v="1800"/>
    <n v="98"/>
    <n v="1787"/>
    <n v="2020"/>
    <x v="0"/>
    <x v="63"/>
  </r>
  <r>
    <x v="64"/>
    <s v="Lucas"/>
    <s v="Stewart"/>
    <x v="0"/>
    <x v="0"/>
    <d v="2021-12-25T00:00:00"/>
    <n v="77"/>
    <n v="7"/>
    <n v="1200"/>
    <n v="90"/>
    <n v="1191"/>
    <n v="2021"/>
    <x v="1"/>
    <x v="64"/>
  </r>
  <r>
    <x v="65"/>
    <s v="Evelyn"/>
    <s v="Sanders"/>
    <x v="1"/>
    <x v="1"/>
    <d v="2022-10-14T00:00:00"/>
    <n v="84"/>
    <n v="10"/>
    <n v="1500"/>
    <n v="93"/>
    <n v="898"/>
    <n v="2022"/>
    <x v="1"/>
    <x v="65"/>
  </r>
  <r>
    <x v="66"/>
    <s v="Daniel"/>
    <s v="Rivera"/>
    <x v="0"/>
    <x v="2"/>
    <d v="2020-11-03T00:00:00"/>
    <n v="81"/>
    <n v="8"/>
    <n v="1300"/>
    <n v="89"/>
    <n v="1608"/>
    <n v="2020"/>
    <x v="1"/>
    <x v="66"/>
  </r>
  <r>
    <x v="67"/>
    <s v="Victoria"/>
    <s v="Jenkins"/>
    <x v="1"/>
    <x v="4"/>
    <d v="2021-09-06T00:00:00"/>
    <n v="90"/>
    <n v="11"/>
    <n v="1700"/>
    <n v="97"/>
    <n v="1301"/>
    <n v="2021"/>
    <x v="0"/>
    <x v="67"/>
  </r>
  <r>
    <x v="68"/>
    <s v="Joshua"/>
    <s v="Foster"/>
    <x v="0"/>
    <x v="0"/>
    <d v="2020-04-18T00:00:00"/>
    <n v="85"/>
    <n v="12"/>
    <n v="1600"/>
    <n v="95"/>
    <n v="1807"/>
    <n v="2020"/>
    <x v="0"/>
    <x v="68"/>
  </r>
  <r>
    <x v="69"/>
    <s v="Zoey"/>
    <s v="Mitchell"/>
    <x v="1"/>
    <x v="3"/>
    <d v="2022-01-11T00:00:00"/>
    <n v="88"/>
    <n v="14"/>
    <n v="1750"/>
    <n v="99"/>
    <n v="1174"/>
    <n v="2022"/>
    <x v="0"/>
    <x v="69"/>
  </r>
  <r>
    <x v="70"/>
    <s v="Olivia"/>
    <s v="Parker"/>
    <x v="1"/>
    <x v="0"/>
    <d v="2021-03-23T00:00:00"/>
    <n v="86"/>
    <n v="12"/>
    <n v="1550"/>
    <n v="94"/>
    <n v="1468"/>
    <n v="2021"/>
    <x v="0"/>
    <x v="70"/>
  </r>
  <r>
    <x v="71"/>
    <s v="Andrew"/>
    <s v="Bailey"/>
    <x v="0"/>
    <x v="3"/>
    <d v="2020-08-14T00:00:00"/>
    <n v="90"/>
    <n v="14"/>
    <n v="1800"/>
    <n v="97"/>
    <n v="1689"/>
    <n v="2020"/>
    <x v="0"/>
    <x v="71"/>
  </r>
  <r>
    <x v="10"/>
    <s v="Charlotte"/>
    <s v="Scott"/>
    <x v="1"/>
    <x v="0"/>
    <d v="2020-01-15T00:00:00"/>
    <n v="84"/>
    <n v="11"/>
    <n v="1500"/>
    <n v="94"/>
    <n v="1901"/>
    <n v="2020"/>
    <x v="0"/>
    <x v="10"/>
  </r>
  <r>
    <x v="11"/>
    <s v="Logan"/>
    <s v="Cooper"/>
    <x v="0"/>
    <x v="3"/>
    <d v="2021-02-22T00:00:00"/>
    <n v="89"/>
    <n v="14"/>
    <n v="1750"/>
    <n v="97"/>
    <n v="1497"/>
    <n v="2021"/>
    <x v="0"/>
    <x v="11"/>
  </r>
  <r>
    <x v="72"/>
    <s v="Ava"/>
    <s v="Evans"/>
    <x v="1"/>
    <x v="2"/>
    <d v="2022-06-30T00:00:00"/>
    <n v="82"/>
    <n v="9"/>
    <n v="1350"/>
    <n v="91"/>
    <n v="1004"/>
    <n v="2022"/>
    <x v="1"/>
    <x v="72"/>
  </r>
  <r>
    <x v="73"/>
    <s v="Ryan"/>
    <s v="Roberts"/>
    <x v="0"/>
    <x v="1"/>
    <d v="2019-10-25T00:00:00"/>
    <n v="85"/>
    <n v="10"/>
    <n v="1500"/>
    <n v="95"/>
    <n v="1983"/>
    <n v="2019"/>
    <x v="1"/>
    <x v="73"/>
  </r>
  <r>
    <x v="74"/>
    <s v="Lily"/>
    <s v="Morgan"/>
    <x v="1"/>
    <x v="4"/>
    <d v="2021-11-12T00:00:00"/>
    <n v="87"/>
    <n v="11"/>
    <n v="1600"/>
    <n v="96"/>
    <n v="1234"/>
    <n v="2021"/>
    <x v="0"/>
    <x v="74"/>
  </r>
  <r>
    <x v="75"/>
    <s v="Ethan"/>
    <s v="Rogers"/>
    <x v="0"/>
    <x v="0"/>
    <d v="2020-04-30T00:00:00"/>
    <n v="89"/>
    <n v="13"/>
    <n v="1750"/>
    <n v="98"/>
    <n v="1795"/>
    <n v="2020"/>
    <x v="0"/>
    <x v="75"/>
  </r>
  <r>
    <x v="76"/>
    <s v="Isabella"/>
    <s v="Bell"/>
    <x v="1"/>
    <x v="1"/>
    <d v="2021-09-01T00:00:00"/>
    <n v="91"/>
    <n v="12"/>
    <n v="1700"/>
    <n v="97"/>
    <n v="1306"/>
    <n v="2021"/>
    <x v="0"/>
    <x v="76"/>
  </r>
  <r>
    <x v="77"/>
    <s v="Jackson"/>
    <s v="Rivera"/>
    <x v="0"/>
    <x v="2"/>
    <d v="2020-05-22T00:00:00"/>
    <n v="78"/>
    <n v="8"/>
    <n v="1300"/>
    <n v="89"/>
    <n v="1773"/>
    <n v="2020"/>
    <x v="1"/>
    <x v="77"/>
  </r>
  <r>
    <x v="78"/>
    <s v="Mia"/>
    <s v="Carter"/>
    <x v="1"/>
    <x v="4"/>
    <d v="2022-02-11T00:00:00"/>
    <n v="84"/>
    <n v="9"/>
    <n v="1450"/>
    <n v="93"/>
    <n v="1143"/>
    <n v="2022"/>
    <x v="1"/>
    <x v="78"/>
  </r>
  <r>
    <x v="79"/>
    <s v="James"/>
    <s v="Foster"/>
    <x v="0"/>
    <x v="0"/>
    <d v="2019-07-20T00:00:00"/>
    <n v="88"/>
    <n v="11"/>
    <n v="1650"/>
    <n v="96"/>
    <n v="2080"/>
    <n v="2019"/>
    <x v="0"/>
    <x v="79"/>
  </r>
  <r>
    <x v="80"/>
    <s v="Emma"/>
    <s v="Morris"/>
    <x v="1"/>
    <x v="3"/>
    <d v="2021-04-08T00:00:00"/>
    <n v="83"/>
    <n v="10"/>
    <n v="1450"/>
    <n v="92"/>
    <n v="1452"/>
    <n v="2021"/>
    <x v="1"/>
    <x v="80"/>
  </r>
  <r>
    <x v="81"/>
    <s v="Liam"/>
    <s v="Cook"/>
    <x v="0"/>
    <x v="1"/>
    <d v="2020-12-19T00:00:00"/>
    <n v="89"/>
    <n v="13"/>
    <n v="1750"/>
    <n v="98"/>
    <n v="1562"/>
    <n v="2020"/>
    <x v="0"/>
    <x v="81"/>
  </r>
  <r>
    <x v="82"/>
    <s v="Charlotte"/>
    <s v="Brooks"/>
    <x v="1"/>
    <x v="2"/>
    <d v="2021-10-23T00:00:00"/>
    <n v="90"/>
    <n v="12"/>
    <n v="1700"/>
    <n v="97"/>
    <n v="1254"/>
    <n v="2021"/>
    <x v="0"/>
    <x v="82"/>
  </r>
  <r>
    <x v="83"/>
    <s v="Noah"/>
    <s v="Russell"/>
    <x v="0"/>
    <x v="4"/>
    <d v="2020-07-17T00:00:00"/>
    <n v="79"/>
    <n v="8"/>
    <n v="1350"/>
    <n v="90"/>
    <n v="1717"/>
    <n v="2020"/>
    <x v="1"/>
    <x v="83"/>
  </r>
  <r>
    <x v="84"/>
    <s v="Grace"/>
    <s v="Hughes"/>
    <x v="1"/>
    <x v="0"/>
    <d v="2022-03-28T00:00:00"/>
    <n v="85"/>
    <n v="9"/>
    <n v="1500"/>
    <n v="93"/>
    <n v="1098"/>
    <n v="2022"/>
    <x v="1"/>
    <x v="84"/>
  </r>
  <r>
    <x v="85"/>
    <s v="Logan"/>
    <s v="Jenkins"/>
    <x v="0"/>
    <x v="3"/>
    <d v="2019-09-03T00:00:00"/>
    <n v="92"/>
    <n v="15"/>
    <n v="1800"/>
    <n v="99"/>
    <n v="2035"/>
    <n v="2019"/>
    <x v="0"/>
    <x v="85"/>
  </r>
  <r>
    <x v="86"/>
    <s v="Victoria"/>
    <s v="Peterson"/>
    <x v="1"/>
    <x v="1"/>
    <d v="2021-02-16T00:00:00"/>
    <n v="83"/>
    <n v="10"/>
    <n v="1450"/>
    <n v="94"/>
    <n v="1503"/>
    <n v="2021"/>
    <x v="1"/>
    <x v="86"/>
  </r>
  <r>
    <x v="87"/>
    <s v="Benjamin"/>
    <s v="Cooper"/>
    <x v="0"/>
    <x v="2"/>
    <d v="2020-06-09T00:00:00"/>
    <n v="81"/>
    <n v="8"/>
    <n v="1350"/>
    <n v="91"/>
    <n v="1755"/>
    <n v="2020"/>
    <x v="1"/>
    <x v="87"/>
  </r>
  <r>
    <x v="88"/>
    <s v="Ava"/>
    <s v="Perez"/>
    <x v="1"/>
    <x v="4"/>
    <d v="2022-11-25T00:00:00"/>
    <n v="90"/>
    <n v="11"/>
    <n v="1700"/>
    <n v="96"/>
    <n v="856"/>
    <n v="2022"/>
    <x v="0"/>
    <x v="88"/>
  </r>
  <r>
    <x v="89"/>
    <s v="William"/>
    <s v="Murphy"/>
    <x v="0"/>
    <x v="0"/>
    <d v="2020-08-14T00:00:00"/>
    <n v="89"/>
    <n v="14"/>
    <n v="1750"/>
    <n v="98"/>
    <n v="1689"/>
    <n v="2020"/>
    <x v="0"/>
    <x v="71"/>
  </r>
  <r>
    <x v="90"/>
    <s v="Emily"/>
    <s v="Cooper"/>
    <x v="1"/>
    <x v="3"/>
    <d v="2021-07-08T00:00:00"/>
    <n v="87"/>
    <n v="12"/>
    <n v="1600"/>
    <n v="97"/>
    <n v="1361"/>
    <n v="2021"/>
    <x v="0"/>
    <x v="89"/>
  </r>
  <r>
    <x v="91"/>
    <s v="Lucas"/>
    <s v="Turner"/>
    <x v="0"/>
    <x v="1"/>
    <d v="2019-11-04T00:00:00"/>
    <n v="82"/>
    <n v="9"/>
    <n v="1450"/>
    <n v="92"/>
    <n v="1973"/>
    <n v="2019"/>
    <x v="1"/>
    <x v="90"/>
  </r>
  <r>
    <x v="92"/>
    <s v="Isabella"/>
    <s v="Scott"/>
    <x v="1"/>
    <x v="2"/>
    <d v="2021-03-01T00:00:00"/>
    <n v="88"/>
    <n v="10"/>
    <n v="1650"/>
    <n v="95"/>
    <n v="1490"/>
    <n v="2021"/>
    <x v="1"/>
    <x v="91"/>
  </r>
  <r>
    <x v="93"/>
    <s v="Ethan"/>
    <s v="Diaz"/>
    <x v="0"/>
    <x v="4"/>
    <d v="2020-05-29T00:00:00"/>
    <n v="91"/>
    <n v="13"/>
    <n v="1750"/>
    <n v="98"/>
    <n v="1766"/>
    <n v="2020"/>
    <x v="0"/>
    <x v="92"/>
  </r>
  <r>
    <x v="94"/>
    <s v="Harper"/>
    <s v="Phillips"/>
    <x v="1"/>
    <x v="0"/>
    <d v="2022-04-14T00:00:00"/>
    <n v="83"/>
    <n v="9"/>
    <n v="1500"/>
    <n v="94"/>
    <n v="1081"/>
    <n v="2022"/>
    <x v="1"/>
    <x v="93"/>
  </r>
  <r>
    <x v="95"/>
    <s v="Jack"/>
    <s v="Ward"/>
    <x v="0"/>
    <x v="3"/>
    <d v="2019-02-25T00:00:00"/>
    <n v="85"/>
    <n v="11"/>
    <n v="1600"/>
    <n v="96"/>
    <n v="2225"/>
    <n v="2019"/>
    <x v="0"/>
    <x v="94"/>
  </r>
  <r>
    <x v="96"/>
    <s v="Amelia"/>
    <s v="Stewart"/>
    <x v="1"/>
    <x v="1"/>
    <d v="2021-11-18T00:00:00"/>
    <n v="80"/>
    <n v="7"/>
    <n v="1300"/>
    <n v="90"/>
    <n v="1228"/>
    <n v="2021"/>
    <x v="1"/>
    <x v="95"/>
  </r>
  <r>
    <x v="97"/>
    <s v="Daniel"/>
    <s v="Nguyen"/>
    <x v="0"/>
    <x v="2"/>
    <d v="2020-12-06T00:00:00"/>
    <n v="79"/>
    <n v="8"/>
    <n v="1400"/>
    <n v="89"/>
    <n v="1575"/>
    <n v="2020"/>
    <x v="1"/>
    <x v="96"/>
  </r>
  <r>
    <x v="98"/>
    <s v="Abigail"/>
    <s v="Lopez"/>
    <x v="1"/>
    <x v="4"/>
    <d v="2022-07-30T00:00:00"/>
    <n v="88"/>
    <n v="10"/>
    <n v="1650"/>
    <n v="95"/>
    <n v="974"/>
    <n v="2022"/>
    <x v="1"/>
    <x v="97"/>
  </r>
  <r>
    <x v="99"/>
    <s v="Samuel"/>
    <s v="Carter"/>
    <x v="0"/>
    <x v="0"/>
    <d v="2021-06-13T00:00:00"/>
    <n v="92"/>
    <n v="14"/>
    <n v="1800"/>
    <n v="99"/>
    <n v="1386"/>
    <n v="2021"/>
    <x v="0"/>
    <x v="98"/>
  </r>
  <r>
    <x v="100"/>
    <m/>
    <m/>
    <x v="2"/>
    <x v="5"/>
    <m/>
    <n v="88.5"/>
    <s v="                  "/>
    <n v="157300"/>
    <m/>
    <m/>
    <m/>
    <x v="2"/>
    <x v="9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52"/>
  </r>
  <r>
    <x v="1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62D51-0325-4AFA-8965-6E154650A0B0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D28" firstHeaderRow="1" firstDataRow="2" firstDataCol="1"/>
  <pivotFields count="14">
    <pivotField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/>
    <pivotField showAll="0"/>
    <pivotField showAll="0"/>
    <pivotField axis="axisRow" showAll="0">
      <items count="7">
        <item x="3"/>
        <item x="1"/>
        <item x="0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h="1" x="2"/>
        <item t="default"/>
      </items>
    </pivotField>
    <pivotField showAll="0">
      <items count="101">
        <item x="58"/>
        <item x="12"/>
        <item x="42"/>
        <item x="47"/>
        <item x="46"/>
        <item x="16"/>
        <item x="77"/>
        <item x="87"/>
        <item x="90"/>
        <item x="83"/>
        <item x="94"/>
        <item x="40"/>
        <item x="66"/>
        <item x="73"/>
        <item x="52"/>
        <item x="96"/>
        <item x="32"/>
        <item x="9"/>
        <item x="79"/>
        <item x="5"/>
        <item x="13"/>
        <item x="26"/>
        <item x="95"/>
        <item x="10"/>
        <item x="2"/>
        <item x="64"/>
        <item x="34"/>
        <item x="36"/>
        <item x="44"/>
        <item x="53"/>
        <item x="21"/>
        <item x="60"/>
        <item x="25"/>
        <item x="38"/>
        <item x="29"/>
        <item x="27"/>
        <item x="18"/>
        <item x="55"/>
        <item x="50"/>
        <item x="8"/>
        <item x="41"/>
        <item x="68"/>
        <item x="37"/>
        <item x="86"/>
        <item x="91"/>
        <item x="35"/>
        <item x="7"/>
        <item x="23"/>
        <item x="80"/>
        <item x="20"/>
        <item x="24"/>
        <item x="22"/>
        <item x="75"/>
        <item x="92"/>
        <item x="85"/>
        <item x="28"/>
        <item x="6"/>
        <item x="30"/>
        <item x="1"/>
        <item x="51"/>
        <item x="3"/>
        <item x="17"/>
        <item x="78"/>
        <item x="62"/>
        <item x="0"/>
        <item x="70"/>
        <item x="61"/>
        <item x="84"/>
        <item x="56"/>
        <item x="71"/>
        <item x="48"/>
        <item x="81"/>
        <item x="93"/>
        <item x="63"/>
        <item x="33"/>
        <item x="67"/>
        <item x="89"/>
        <item x="14"/>
        <item x="74"/>
        <item x="72"/>
        <item x="31"/>
        <item x="4"/>
        <item x="76"/>
        <item x="11"/>
        <item x="82"/>
        <item x="49"/>
        <item x="98"/>
        <item x="59"/>
        <item x="97"/>
        <item x="19"/>
        <item x="54"/>
        <item x="65"/>
        <item x="45"/>
        <item x="39"/>
        <item x="69"/>
        <item x="43"/>
        <item x="57"/>
        <item x="88"/>
        <item x="15"/>
        <item x="99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EC1FF-32EA-4324-A702-2301167B173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2:C18" firstHeaderRow="0" firstDataRow="1" firstDataCol="1"/>
  <pivotFields count="17">
    <pivotField dataField="1" showAll="0"/>
    <pivotField showAll="0"/>
    <pivotField showAll="0"/>
    <pivotField showAll="0"/>
    <pivotField axis="axisRow" showAll="0">
      <items count="7">
        <item x="3"/>
        <item x="1"/>
        <item x="0"/>
        <item x="2"/>
        <item x="4"/>
        <item h="1" x="5"/>
        <item t="default"/>
      </items>
    </pivotField>
    <pivotField showAll="0">
      <items count="100">
        <item x="93"/>
        <item x="36"/>
        <item x="46"/>
        <item x="16"/>
        <item x="27"/>
        <item x="58"/>
        <item x="78"/>
        <item x="12"/>
        <item x="50"/>
        <item x="84"/>
        <item x="42"/>
        <item x="8"/>
        <item x="24"/>
        <item x="73"/>
        <item x="89"/>
        <item x="32"/>
        <item x="3"/>
        <item x="9"/>
        <item x="10"/>
        <item x="34"/>
        <item x="44"/>
        <item x="13"/>
        <item x="26"/>
        <item x="21"/>
        <item x="40"/>
        <item x="68"/>
        <item x="75"/>
        <item x="63"/>
        <item x="29"/>
        <item x="91"/>
        <item x="47"/>
        <item x="86"/>
        <item x="23"/>
        <item x="82"/>
        <item x="2"/>
        <item x="71"/>
        <item x="5"/>
        <item x="31"/>
        <item x="60"/>
        <item x="38"/>
        <item x="18"/>
        <item x="66"/>
        <item x="55"/>
        <item x="52"/>
        <item x="95"/>
        <item x="80"/>
        <item x="41"/>
        <item x="4"/>
        <item x="53"/>
        <item x="0"/>
        <item x="85"/>
        <item x="11"/>
        <item x="90"/>
        <item x="6"/>
        <item x="70"/>
        <item x="61"/>
        <item x="79"/>
        <item x="33"/>
        <item x="17"/>
        <item x="97"/>
        <item x="59"/>
        <item x="88"/>
        <item x="37"/>
        <item x="14"/>
        <item x="56"/>
        <item x="25"/>
        <item x="76"/>
        <item x="67"/>
        <item x="51"/>
        <item x="20"/>
        <item x="45"/>
        <item x="81"/>
        <item x="74"/>
        <item x="94"/>
        <item x="28"/>
        <item x="48"/>
        <item x="64"/>
        <item x="69"/>
        <item x="35"/>
        <item x="77"/>
        <item x="62"/>
        <item x="19"/>
        <item x="49"/>
        <item x="83"/>
        <item x="54"/>
        <item x="92"/>
        <item x="1"/>
        <item x="57"/>
        <item x="7"/>
        <item x="39"/>
        <item x="72"/>
        <item x="43"/>
        <item x="96"/>
        <item x="30"/>
        <item x="15"/>
        <item x="65"/>
        <item x="87"/>
        <item x="22"/>
        <item x="98"/>
        <item t="default"/>
      </items>
    </pivotField>
    <pivotField showAll="0"/>
    <pivotField dataField="1" showAll="0">
      <items count="12">
        <item x="9"/>
        <item x="7"/>
        <item x="1"/>
        <item x="5"/>
        <item x="2"/>
        <item x="6"/>
        <item x="0"/>
        <item x="8"/>
        <item x="4"/>
        <item x="3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jects Completed" fld="7" subtotal="count" baseField="0" baseItem="0"/>
    <dataField name="Count of EmployeeID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5C6E15-B628-4D56-9B78-81B51E10D10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C9" firstHeaderRow="0" firstDataRow="1" firstDataCol="1"/>
  <pivotFields count="17">
    <pivotField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/>
    <pivotField showAll="0"/>
    <pivotField showAll="0"/>
    <pivotField axis="axisRow" showAll="0">
      <items count="7">
        <item sd="0" x="3"/>
        <item sd="0" x="1"/>
        <item sd="0" x="0"/>
        <item sd="0" x="2"/>
        <item sd="0" x="4"/>
        <item h="1" sd="0" x="5"/>
        <item t="default" sd="0"/>
      </items>
    </pivotField>
    <pivotField showAll="0">
      <items count="100">
        <item x="93"/>
        <item x="36"/>
        <item x="46"/>
        <item x="16"/>
        <item x="27"/>
        <item x="58"/>
        <item x="78"/>
        <item x="12"/>
        <item x="50"/>
        <item x="84"/>
        <item x="42"/>
        <item x="8"/>
        <item x="24"/>
        <item x="73"/>
        <item x="89"/>
        <item x="32"/>
        <item x="3"/>
        <item x="9"/>
        <item x="10"/>
        <item x="34"/>
        <item x="44"/>
        <item x="13"/>
        <item x="26"/>
        <item x="21"/>
        <item x="40"/>
        <item x="68"/>
        <item x="75"/>
        <item x="63"/>
        <item x="29"/>
        <item x="91"/>
        <item x="47"/>
        <item x="86"/>
        <item x="23"/>
        <item x="82"/>
        <item x="2"/>
        <item x="71"/>
        <item x="5"/>
        <item x="31"/>
        <item x="60"/>
        <item x="38"/>
        <item x="18"/>
        <item x="66"/>
        <item x="55"/>
        <item x="52"/>
        <item x="95"/>
        <item x="80"/>
        <item x="41"/>
        <item x="4"/>
        <item x="53"/>
        <item x="0"/>
        <item x="85"/>
        <item x="11"/>
        <item x="90"/>
        <item x="6"/>
        <item x="70"/>
        <item x="61"/>
        <item x="79"/>
        <item x="33"/>
        <item x="17"/>
        <item x="97"/>
        <item x="59"/>
        <item x="88"/>
        <item x="37"/>
        <item x="14"/>
        <item x="56"/>
        <item x="25"/>
        <item x="76"/>
        <item x="67"/>
        <item x="51"/>
        <item x="20"/>
        <item x="45"/>
        <item x="81"/>
        <item x="74"/>
        <item x="94"/>
        <item x="28"/>
        <item x="48"/>
        <item x="64"/>
        <item x="69"/>
        <item x="35"/>
        <item x="77"/>
        <item x="62"/>
        <item x="19"/>
        <item x="49"/>
        <item x="83"/>
        <item x="54"/>
        <item x="92"/>
        <item x="1"/>
        <item x="57"/>
        <item x="7"/>
        <item x="39"/>
        <item x="72"/>
        <item x="43"/>
        <item x="96"/>
        <item x="30"/>
        <item x="15"/>
        <item x="65"/>
        <item x="87"/>
        <item x="22"/>
        <item x="98"/>
        <item t="default"/>
      </items>
    </pivotField>
    <pivotField dataField="1" showAll="0"/>
    <pivotField showAll="0">
      <items count="12">
        <item x="9"/>
        <item x="7"/>
        <item x="1"/>
        <item x="5"/>
        <item x="2"/>
        <item x="6"/>
        <item x="0"/>
        <item x="8"/>
        <item x="4"/>
        <item x="3"/>
        <item x="1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erformance Score" fld="6" baseField="0" baseItem="0"/>
    <dataField name="Sum of AttendanceRate (%)" fld="9" baseField="0" baseItem="0"/>
  </dataFields>
  <chartFormats count="2"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6B796-B755-489A-8B2A-36D935587A28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H12:I15" firstHeaderRow="1" firstDataRow="1" firstDataCol="1"/>
  <pivotFields count="2">
    <pivotField axis="axisRow" showAll="0">
      <items count="3">
        <item x="1"/>
        <item x="0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COUNT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313163-B9A2-4288-9A87-C2C7654697CB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H4:I7" firstHeaderRow="1" firstDataRow="1" firstDataCol="1"/>
  <pivotFields count="14"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PROJECT COMPLETION EFFICIENCY RATE (PCE %)" fld="13" showDataAs="percentOfCol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185D-2833-4C52-8FA2-D89B24CE4D64}">
  <dimension ref="A1"/>
  <sheetViews>
    <sheetView showGridLines="0" showRowColHeaders="0" workbookViewId="0">
      <selection activeCell="R18" sqref="R18"/>
    </sheetView>
  </sheetViews>
  <sheetFormatPr defaultRowHeight="14.25" x14ac:dyDescent="0.2"/>
  <cols>
    <col min="1" max="16384" width="9" style="9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BE47-A085-4CB6-88D1-BAFEADD5D9D9}">
  <dimension ref="A3:I28"/>
  <sheetViews>
    <sheetView topLeftCell="A9" workbookViewId="0">
      <selection activeCell="K14" sqref="K14"/>
    </sheetView>
  </sheetViews>
  <sheetFormatPr defaultRowHeight="14.25" x14ac:dyDescent="0.2"/>
  <cols>
    <col min="1" max="1" width="13.125" bestFit="1" customWidth="1"/>
    <col min="2" max="2" width="16.125" bestFit="1" customWidth="1"/>
    <col min="3" max="3" width="4.625" bestFit="1" customWidth="1"/>
    <col min="4" max="5" width="11.375" bestFit="1" customWidth="1"/>
    <col min="6" max="6" width="19.625" bestFit="1" customWidth="1"/>
    <col min="7" max="9" width="14.5" bestFit="1" customWidth="1"/>
    <col min="10" max="106" width="6.125" bestFit="1" customWidth="1"/>
    <col min="107" max="107" width="6.875" bestFit="1" customWidth="1"/>
    <col min="108" max="108" width="11.375" bestFit="1" customWidth="1"/>
  </cols>
  <sheetData>
    <row r="3" spans="1:9" x14ac:dyDescent="0.2">
      <c r="A3" s="6" t="s">
        <v>235</v>
      </c>
      <c r="B3" t="s">
        <v>236</v>
      </c>
      <c r="C3" t="s">
        <v>241</v>
      </c>
    </row>
    <row r="4" spans="1:9" x14ac:dyDescent="0.2">
      <c r="A4" s="7" t="s">
        <v>31</v>
      </c>
      <c r="B4">
        <v>1490</v>
      </c>
      <c r="C4">
        <v>1640</v>
      </c>
      <c r="H4" s="6" t="s">
        <v>235</v>
      </c>
      <c r="I4" t="s">
        <v>238</v>
      </c>
    </row>
    <row r="5" spans="1:9" x14ac:dyDescent="0.2">
      <c r="A5" s="7" t="s">
        <v>20</v>
      </c>
      <c r="B5">
        <v>1704</v>
      </c>
      <c r="C5">
        <v>1885</v>
      </c>
      <c r="H5" s="7" t="s">
        <v>19</v>
      </c>
      <c r="I5" s="8">
        <v>0.53733374191551775</v>
      </c>
    </row>
    <row r="6" spans="1:9" x14ac:dyDescent="0.2">
      <c r="A6" s="7" t="s">
        <v>15</v>
      </c>
      <c r="B6">
        <v>2326</v>
      </c>
      <c r="C6">
        <v>2579</v>
      </c>
      <c r="H6" s="7" t="s">
        <v>14</v>
      </c>
      <c r="I6" s="8">
        <v>0.4626662580844822</v>
      </c>
    </row>
    <row r="7" spans="1:9" x14ac:dyDescent="0.2">
      <c r="A7" s="7" t="s">
        <v>24</v>
      </c>
      <c r="B7">
        <v>1581</v>
      </c>
      <c r="C7">
        <v>1763</v>
      </c>
      <c r="H7" s="7" t="s">
        <v>237</v>
      </c>
      <c r="I7" s="8">
        <v>1</v>
      </c>
    </row>
    <row r="8" spans="1:9" x14ac:dyDescent="0.2">
      <c r="A8" s="7" t="s">
        <v>38</v>
      </c>
      <c r="B8">
        <v>1592</v>
      </c>
      <c r="C8">
        <v>1783</v>
      </c>
    </row>
    <row r="9" spans="1:9" x14ac:dyDescent="0.2">
      <c r="A9" s="7" t="s">
        <v>237</v>
      </c>
      <c r="B9">
        <v>8693</v>
      </c>
      <c r="C9">
        <v>9650</v>
      </c>
    </row>
    <row r="12" spans="1:9" x14ac:dyDescent="0.2">
      <c r="A12" s="6" t="s">
        <v>235</v>
      </c>
      <c r="B12" t="s">
        <v>244</v>
      </c>
      <c r="C12" t="s">
        <v>243</v>
      </c>
      <c r="H12" s="6" t="s">
        <v>235</v>
      </c>
      <c r="I12" t="s">
        <v>248</v>
      </c>
    </row>
    <row r="13" spans="1:9" x14ac:dyDescent="0.2">
      <c r="A13" s="7" t="s">
        <v>31</v>
      </c>
      <c r="B13">
        <v>17</v>
      </c>
      <c r="C13">
        <v>17</v>
      </c>
      <c r="H13" s="7" t="s">
        <v>249</v>
      </c>
      <c r="I13">
        <v>50</v>
      </c>
    </row>
    <row r="14" spans="1:9" x14ac:dyDescent="0.2">
      <c r="A14" s="7" t="s">
        <v>20</v>
      </c>
      <c r="B14">
        <v>20</v>
      </c>
      <c r="C14">
        <v>20</v>
      </c>
      <c r="H14" s="7" t="s">
        <v>245</v>
      </c>
      <c r="I14">
        <v>52</v>
      </c>
    </row>
    <row r="15" spans="1:9" x14ac:dyDescent="0.2">
      <c r="A15" s="7" t="s">
        <v>15</v>
      </c>
      <c r="B15">
        <v>27</v>
      </c>
      <c r="C15">
        <v>27</v>
      </c>
      <c r="H15" s="7" t="s">
        <v>237</v>
      </c>
      <c r="I15">
        <v>102</v>
      </c>
    </row>
    <row r="16" spans="1:9" x14ac:dyDescent="0.2">
      <c r="A16" s="7" t="s">
        <v>24</v>
      </c>
      <c r="B16">
        <v>19</v>
      </c>
      <c r="C16">
        <v>19</v>
      </c>
    </row>
    <row r="17" spans="1:4" x14ac:dyDescent="0.2">
      <c r="A17" s="7" t="s">
        <v>38</v>
      </c>
      <c r="B17">
        <v>19</v>
      </c>
      <c r="C17">
        <v>19</v>
      </c>
    </row>
    <row r="18" spans="1:4" x14ac:dyDescent="0.2">
      <c r="A18" s="7" t="s">
        <v>237</v>
      </c>
      <c r="B18">
        <v>102</v>
      </c>
      <c r="C18">
        <v>102</v>
      </c>
    </row>
    <row r="21" spans="1:4" x14ac:dyDescent="0.2">
      <c r="B21" s="6" t="s">
        <v>242</v>
      </c>
    </row>
    <row r="22" spans="1:4" x14ac:dyDescent="0.2">
      <c r="A22" s="6" t="s">
        <v>235</v>
      </c>
      <c r="B22" t="s">
        <v>239</v>
      </c>
      <c r="C22" t="s">
        <v>240</v>
      </c>
      <c r="D22" t="s">
        <v>237</v>
      </c>
    </row>
    <row r="23" spans="1:4" x14ac:dyDescent="0.2">
      <c r="A23" s="7" t="s">
        <v>31</v>
      </c>
    </row>
    <row r="24" spans="1:4" x14ac:dyDescent="0.2">
      <c r="A24" s="7" t="s">
        <v>20</v>
      </c>
    </row>
    <row r="25" spans="1:4" x14ac:dyDescent="0.2">
      <c r="A25" s="7" t="s">
        <v>15</v>
      </c>
    </row>
    <row r="26" spans="1:4" x14ac:dyDescent="0.2">
      <c r="A26" s="7" t="s">
        <v>24</v>
      </c>
    </row>
    <row r="27" spans="1:4" x14ac:dyDescent="0.2">
      <c r="A27" s="7" t="s">
        <v>38</v>
      </c>
    </row>
    <row r="28" spans="1:4" x14ac:dyDescent="0.2">
      <c r="A28" s="7" t="s">
        <v>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BE87-C70B-4E79-B1ED-87AA6B3F296B}">
  <dimension ref="A1:R105"/>
  <sheetViews>
    <sheetView tabSelected="1" topLeftCell="G1" zoomScale="85" zoomScaleNormal="85" workbookViewId="0">
      <selection activeCell="J1" sqref="J1:J1048576"/>
    </sheetView>
  </sheetViews>
  <sheetFormatPr defaultRowHeight="14.25" x14ac:dyDescent="0.2"/>
  <cols>
    <col min="1" max="1" width="10.625" customWidth="1"/>
    <col min="5" max="5" width="10.625" customWidth="1"/>
    <col min="6" max="6" width="12.125" customWidth="1"/>
    <col min="7" max="7" width="16.375" customWidth="1"/>
    <col min="8" max="8" width="12.25" customWidth="1"/>
    <col min="9" max="9" width="14.75" style="12" customWidth="1"/>
    <col min="11" max="11" width="15.375" customWidth="1"/>
    <col min="12" max="12" width="14.875" customWidth="1"/>
    <col min="13" max="13" width="20.5" style="12" customWidth="1"/>
    <col min="14" max="14" width="22.625" style="12" customWidth="1"/>
    <col min="17" max="17" width="22.25" customWidth="1"/>
  </cols>
  <sheetData>
    <row r="1" spans="1:18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232</v>
      </c>
      <c r="H1" s="1" t="s">
        <v>234</v>
      </c>
      <c r="I1" s="10" t="s">
        <v>7</v>
      </c>
      <c r="J1" s="1" t="s">
        <v>8</v>
      </c>
      <c r="K1" s="1" t="s">
        <v>6</v>
      </c>
      <c r="L1" s="1" t="s">
        <v>233</v>
      </c>
      <c r="M1" s="13" t="s">
        <v>9</v>
      </c>
      <c r="N1" s="10" t="s">
        <v>10</v>
      </c>
      <c r="O1" s="1"/>
    </row>
    <row r="2" spans="1:18" ht="15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>
        <v>44242</v>
      </c>
      <c r="G2" s="2">
        <v>12</v>
      </c>
      <c r="H2" s="2">
        <v>1500</v>
      </c>
      <c r="I2" s="15">
        <f t="shared" ref="I2:I33" si="0">DATE(2025, 3, 30) - F2</f>
        <v>1504</v>
      </c>
      <c r="J2">
        <f t="shared" ref="J2:J33" si="1">YEAR(F2)</f>
        <v>2021</v>
      </c>
      <c r="K2" s="2">
        <v>95</v>
      </c>
      <c r="L2" s="2">
        <v>85</v>
      </c>
      <c r="M2" s="14" t="str">
        <f t="shared" ref="M2:M33" si="2">IF(G2&gt;10,"YES","NO")</f>
        <v>YES</v>
      </c>
      <c r="N2" s="11">
        <f t="shared" ref="N2:N33" si="3">G2/I2*10000</f>
        <v>79.78723404255318</v>
      </c>
    </row>
    <row r="3" spans="1:18" ht="15" x14ac:dyDescent="0.2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3">
        <v>44691</v>
      </c>
      <c r="G3" s="2">
        <v>8</v>
      </c>
      <c r="H3" s="2">
        <v>1800</v>
      </c>
      <c r="I3" s="15">
        <f t="shared" si="0"/>
        <v>1055</v>
      </c>
      <c r="J3">
        <f t="shared" si="1"/>
        <v>2022</v>
      </c>
      <c r="K3" s="2">
        <v>98</v>
      </c>
      <c r="L3" s="2">
        <v>90</v>
      </c>
      <c r="M3" s="14" t="str">
        <f t="shared" si="2"/>
        <v>NO</v>
      </c>
      <c r="N3" s="11">
        <f t="shared" si="3"/>
        <v>75.829383886255926</v>
      </c>
    </row>
    <row r="4" spans="1:18" ht="15" x14ac:dyDescent="0.2">
      <c r="A4" s="2" t="s">
        <v>21</v>
      </c>
      <c r="B4" s="2" t="s">
        <v>22</v>
      </c>
      <c r="C4" s="2" t="s">
        <v>23</v>
      </c>
      <c r="D4" s="2" t="s">
        <v>14</v>
      </c>
      <c r="E4" s="2" t="s">
        <v>24</v>
      </c>
      <c r="F4" s="3">
        <v>44032</v>
      </c>
      <c r="G4" s="2">
        <v>10</v>
      </c>
      <c r="H4" s="2">
        <v>1200</v>
      </c>
      <c r="I4" s="15">
        <f t="shared" si="0"/>
        <v>1714</v>
      </c>
      <c r="J4">
        <f t="shared" si="1"/>
        <v>2020</v>
      </c>
      <c r="K4" s="2">
        <v>92</v>
      </c>
      <c r="L4" s="2">
        <v>75</v>
      </c>
      <c r="M4" s="14" t="str">
        <f t="shared" si="2"/>
        <v>NO</v>
      </c>
      <c r="N4" s="11">
        <f t="shared" si="3"/>
        <v>58.343057176196034</v>
      </c>
      <c r="Q4" t="s">
        <v>250</v>
      </c>
    </row>
    <row r="5" spans="1:18" ht="15" x14ac:dyDescent="0.2">
      <c r="A5" s="2" t="s">
        <v>25</v>
      </c>
      <c r="B5" s="2" t="s">
        <v>26</v>
      </c>
      <c r="C5" s="2" t="s">
        <v>27</v>
      </c>
      <c r="D5" s="2" t="s">
        <v>19</v>
      </c>
      <c r="E5" s="2" t="s">
        <v>15</v>
      </c>
      <c r="F5" s="3">
        <v>43804</v>
      </c>
      <c r="G5" s="2">
        <v>15</v>
      </c>
      <c r="H5" s="2">
        <v>2000</v>
      </c>
      <c r="I5" s="15">
        <f t="shared" si="0"/>
        <v>1942</v>
      </c>
      <c r="J5">
        <f t="shared" si="1"/>
        <v>2019</v>
      </c>
      <c r="K5" s="2">
        <v>97</v>
      </c>
      <c r="L5" s="2">
        <v>88</v>
      </c>
      <c r="M5" s="14" t="str">
        <f t="shared" si="2"/>
        <v>YES</v>
      </c>
      <c r="N5" s="11">
        <f t="shared" si="3"/>
        <v>77.239958805355315</v>
      </c>
      <c r="Q5" t="s">
        <v>246</v>
      </c>
      <c r="R5" t="s">
        <v>247</v>
      </c>
    </row>
    <row r="6" spans="1:18" ht="15" x14ac:dyDescent="0.2">
      <c r="A6" s="2" t="s">
        <v>28</v>
      </c>
      <c r="B6" s="2" t="s">
        <v>29</v>
      </c>
      <c r="C6" s="2" t="s">
        <v>30</v>
      </c>
      <c r="D6" s="2" t="s">
        <v>14</v>
      </c>
      <c r="E6" s="2" t="s">
        <v>31</v>
      </c>
      <c r="F6" s="3">
        <v>44214</v>
      </c>
      <c r="G6" s="2">
        <v>14</v>
      </c>
      <c r="H6" s="2">
        <v>1750</v>
      </c>
      <c r="I6" s="15">
        <f t="shared" si="0"/>
        <v>1532</v>
      </c>
      <c r="J6">
        <f t="shared" si="1"/>
        <v>2021</v>
      </c>
      <c r="K6" s="2">
        <v>99</v>
      </c>
      <c r="L6" s="2">
        <v>93</v>
      </c>
      <c r="M6" s="14" t="str">
        <f t="shared" si="2"/>
        <v>YES</v>
      </c>
      <c r="N6" s="11">
        <f t="shared" si="3"/>
        <v>91.383812010443876</v>
      </c>
      <c r="Q6" t="s">
        <v>245</v>
      </c>
      <c r="R6">
        <f>COUNTIF(M2:M103, "YES")</f>
        <v>52</v>
      </c>
    </row>
    <row r="7" spans="1:18" ht="15" x14ac:dyDescent="0.2">
      <c r="A7" s="2" t="s">
        <v>32</v>
      </c>
      <c r="B7" s="2" t="s">
        <v>33</v>
      </c>
      <c r="C7" s="2" t="s">
        <v>34</v>
      </c>
      <c r="D7" s="2" t="s">
        <v>19</v>
      </c>
      <c r="E7" s="2" t="s">
        <v>20</v>
      </c>
      <c r="F7" s="3">
        <v>44065</v>
      </c>
      <c r="G7" s="2">
        <v>9</v>
      </c>
      <c r="H7" s="2">
        <v>1300</v>
      </c>
      <c r="I7" s="15">
        <f t="shared" si="0"/>
        <v>1681</v>
      </c>
      <c r="J7">
        <f t="shared" si="1"/>
        <v>2020</v>
      </c>
      <c r="K7" s="2">
        <v>94</v>
      </c>
      <c r="L7" s="2">
        <v>80</v>
      </c>
      <c r="M7" s="14" t="str">
        <f t="shared" si="2"/>
        <v>NO</v>
      </c>
      <c r="N7" s="11">
        <f t="shared" si="3"/>
        <v>53.53955978584176</v>
      </c>
      <c r="Q7" t="s">
        <v>249</v>
      </c>
      <c r="R7">
        <f>COUNTIF(M2:M104, "NO")</f>
        <v>50</v>
      </c>
    </row>
    <row r="8" spans="1:18" ht="15" x14ac:dyDescent="0.2">
      <c r="A8" s="2" t="s">
        <v>35</v>
      </c>
      <c r="B8" s="2" t="s">
        <v>36</v>
      </c>
      <c r="C8" s="2" t="s">
        <v>37</v>
      </c>
      <c r="D8" s="2" t="s">
        <v>14</v>
      </c>
      <c r="E8" s="2" t="s">
        <v>38</v>
      </c>
      <c r="F8" s="3">
        <v>44269</v>
      </c>
      <c r="G8" s="2">
        <v>11</v>
      </c>
      <c r="H8" s="2">
        <v>1400</v>
      </c>
      <c r="I8" s="15">
        <f t="shared" si="0"/>
        <v>1477</v>
      </c>
      <c r="J8">
        <f t="shared" si="1"/>
        <v>2021</v>
      </c>
      <c r="K8" s="2">
        <v>96</v>
      </c>
      <c r="L8" s="2">
        <v>82</v>
      </c>
      <c r="M8" s="14" t="str">
        <f t="shared" si="2"/>
        <v>YES</v>
      </c>
      <c r="N8" s="11">
        <f t="shared" si="3"/>
        <v>74.475287745429924</v>
      </c>
    </row>
    <row r="9" spans="1:18" ht="15" x14ac:dyDescent="0.2">
      <c r="A9" s="2" t="s">
        <v>39</v>
      </c>
      <c r="B9" s="2" t="s">
        <v>40</v>
      </c>
      <c r="C9" s="2" t="s">
        <v>41</v>
      </c>
      <c r="D9" s="2" t="s">
        <v>19</v>
      </c>
      <c r="E9" s="2" t="s">
        <v>15</v>
      </c>
      <c r="F9" s="3">
        <v>44723</v>
      </c>
      <c r="G9" s="2">
        <v>7</v>
      </c>
      <c r="H9" s="2">
        <v>1600</v>
      </c>
      <c r="I9" s="15">
        <f t="shared" si="0"/>
        <v>1023</v>
      </c>
      <c r="J9">
        <f t="shared" si="1"/>
        <v>2022</v>
      </c>
      <c r="K9" s="2">
        <v>99</v>
      </c>
      <c r="L9" s="2">
        <v>91</v>
      </c>
      <c r="M9" s="14" t="str">
        <f t="shared" si="2"/>
        <v>NO</v>
      </c>
      <c r="N9" s="11">
        <f t="shared" si="3"/>
        <v>68.426197458455519</v>
      </c>
    </row>
    <row r="10" spans="1:18" ht="15" x14ac:dyDescent="0.2">
      <c r="A10" s="2" t="s">
        <v>42</v>
      </c>
      <c r="B10" s="2" t="s">
        <v>43</v>
      </c>
      <c r="C10" s="2" t="s">
        <v>44</v>
      </c>
      <c r="D10" s="2" t="s">
        <v>14</v>
      </c>
      <c r="E10" s="2" t="s">
        <v>24</v>
      </c>
      <c r="F10" s="3">
        <v>43739</v>
      </c>
      <c r="G10" s="2">
        <v>13</v>
      </c>
      <c r="H10" s="2">
        <v>1550</v>
      </c>
      <c r="I10" s="15">
        <f t="shared" si="0"/>
        <v>2007</v>
      </c>
      <c r="J10">
        <f t="shared" si="1"/>
        <v>2019</v>
      </c>
      <c r="K10" s="2">
        <v>98</v>
      </c>
      <c r="L10" s="2">
        <v>89</v>
      </c>
      <c r="M10" s="14" t="str">
        <f t="shared" si="2"/>
        <v>YES</v>
      </c>
      <c r="N10" s="11">
        <f t="shared" si="3"/>
        <v>64.77329347284504</v>
      </c>
    </row>
    <row r="11" spans="1:18" ht="15" x14ac:dyDescent="0.2">
      <c r="A11" s="2" t="s">
        <v>45</v>
      </c>
      <c r="B11" s="2" t="s">
        <v>46</v>
      </c>
      <c r="C11" s="2" t="s">
        <v>47</v>
      </c>
      <c r="D11" s="2" t="s">
        <v>19</v>
      </c>
      <c r="E11" s="2" t="s">
        <v>31</v>
      </c>
      <c r="F11" s="3">
        <v>43837</v>
      </c>
      <c r="G11" s="2">
        <v>10</v>
      </c>
      <c r="H11" s="2">
        <v>1100</v>
      </c>
      <c r="I11" s="15">
        <f t="shared" si="0"/>
        <v>1909</v>
      </c>
      <c r="J11">
        <f t="shared" si="1"/>
        <v>2020</v>
      </c>
      <c r="K11" s="2">
        <v>91</v>
      </c>
      <c r="L11" s="2">
        <v>76</v>
      </c>
      <c r="M11" s="14" t="str">
        <f t="shared" si="2"/>
        <v>NO</v>
      </c>
      <c r="N11" s="11">
        <f t="shared" si="3"/>
        <v>52.383446830801468</v>
      </c>
    </row>
    <row r="12" spans="1:18" ht="15" x14ac:dyDescent="0.25">
      <c r="A12" t="s">
        <v>48</v>
      </c>
      <c r="B12" t="s">
        <v>49</v>
      </c>
      <c r="C12" t="s">
        <v>50</v>
      </c>
      <c r="D12" t="s">
        <v>19</v>
      </c>
      <c r="E12" t="s">
        <v>15</v>
      </c>
      <c r="F12" s="4">
        <v>43845</v>
      </c>
      <c r="G12">
        <v>11</v>
      </c>
      <c r="H12">
        <v>1500</v>
      </c>
      <c r="I12" s="15">
        <f t="shared" si="0"/>
        <v>1901</v>
      </c>
      <c r="J12">
        <f t="shared" si="1"/>
        <v>2020</v>
      </c>
      <c r="K12">
        <v>94</v>
      </c>
      <c r="L12">
        <v>84</v>
      </c>
      <c r="M12" s="14" t="str">
        <f t="shared" si="2"/>
        <v>YES</v>
      </c>
      <c r="N12" s="11">
        <f t="shared" si="3"/>
        <v>57.864281956864808</v>
      </c>
    </row>
    <row r="13" spans="1:18" ht="15" x14ac:dyDescent="0.25">
      <c r="A13" t="s">
        <v>51</v>
      </c>
      <c r="B13" t="s">
        <v>52</v>
      </c>
      <c r="C13" t="s">
        <v>53</v>
      </c>
      <c r="D13" t="s">
        <v>14</v>
      </c>
      <c r="E13" t="s">
        <v>31</v>
      </c>
      <c r="F13" s="4">
        <v>44249</v>
      </c>
      <c r="G13">
        <v>14</v>
      </c>
      <c r="H13">
        <v>1750</v>
      </c>
      <c r="I13" s="15">
        <f t="shared" si="0"/>
        <v>1497</v>
      </c>
      <c r="J13">
        <f t="shared" si="1"/>
        <v>2021</v>
      </c>
      <c r="K13">
        <v>97</v>
      </c>
      <c r="L13">
        <v>89</v>
      </c>
      <c r="M13" s="14" t="str">
        <f t="shared" si="2"/>
        <v>YES</v>
      </c>
      <c r="N13" s="11">
        <f t="shared" si="3"/>
        <v>93.520374081496328</v>
      </c>
    </row>
    <row r="14" spans="1:18" ht="15" x14ac:dyDescent="0.25">
      <c r="A14" t="s">
        <v>54</v>
      </c>
      <c r="B14" t="s">
        <v>55</v>
      </c>
      <c r="C14" t="s">
        <v>56</v>
      </c>
      <c r="D14" t="s">
        <v>19</v>
      </c>
      <c r="E14" t="s">
        <v>24</v>
      </c>
      <c r="F14" s="4">
        <v>43687</v>
      </c>
      <c r="G14">
        <v>8</v>
      </c>
      <c r="H14">
        <v>1250</v>
      </c>
      <c r="I14" s="15">
        <f t="shared" si="0"/>
        <v>2059</v>
      </c>
      <c r="J14">
        <f t="shared" si="1"/>
        <v>2019</v>
      </c>
      <c r="K14">
        <v>90</v>
      </c>
      <c r="L14">
        <v>78</v>
      </c>
      <c r="M14" s="14" t="str">
        <f t="shared" si="2"/>
        <v>NO</v>
      </c>
      <c r="N14" s="11">
        <f t="shared" si="3"/>
        <v>38.853812530354539</v>
      </c>
    </row>
    <row r="15" spans="1:18" ht="15" x14ac:dyDescent="0.25">
      <c r="A15" t="s">
        <v>57</v>
      </c>
      <c r="B15" t="s">
        <v>58</v>
      </c>
      <c r="C15" t="s">
        <v>59</v>
      </c>
      <c r="D15" t="s">
        <v>14</v>
      </c>
      <c r="E15" t="s">
        <v>20</v>
      </c>
      <c r="F15" s="4">
        <v>43895</v>
      </c>
      <c r="G15">
        <v>10</v>
      </c>
      <c r="H15">
        <v>1450</v>
      </c>
      <c r="I15" s="15">
        <f t="shared" si="0"/>
        <v>1851</v>
      </c>
      <c r="J15">
        <f t="shared" si="1"/>
        <v>2020</v>
      </c>
      <c r="K15">
        <v>93</v>
      </c>
      <c r="L15">
        <v>85</v>
      </c>
      <c r="M15" s="14" t="str">
        <f t="shared" si="2"/>
        <v>NO</v>
      </c>
      <c r="N15" s="11">
        <f t="shared" si="3"/>
        <v>54.024851431658561</v>
      </c>
    </row>
    <row r="16" spans="1:18" ht="15" x14ac:dyDescent="0.25">
      <c r="A16" t="s">
        <v>60</v>
      </c>
      <c r="B16" t="s">
        <v>17</v>
      </c>
      <c r="C16" t="s">
        <v>61</v>
      </c>
      <c r="D16" t="s">
        <v>19</v>
      </c>
      <c r="E16" t="s">
        <v>38</v>
      </c>
      <c r="F16" s="4">
        <v>44396</v>
      </c>
      <c r="G16">
        <v>12</v>
      </c>
      <c r="H16">
        <v>1600</v>
      </c>
      <c r="I16" s="15">
        <f t="shared" si="0"/>
        <v>1350</v>
      </c>
      <c r="J16">
        <f t="shared" si="1"/>
        <v>2021</v>
      </c>
      <c r="K16">
        <v>96</v>
      </c>
      <c r="L16">
        <v>88</v>
      </c>
      <c r="M16" s="14" t="str">
        <f t="shared" si="2"/>
        <v>YES</v>
      </c>
      <c r="N16" s="11">
        <f t="shared" si="3"/>
        <v>88.888888888888886</v>
      </c>
    </row>
    <row r="17" spans="1:14" ht="15" x14ac:dyDescent="0.25">
      <c r="A17" t="s">
        <v>62</v>
      </c>
      <c r="B17" t="s">
        <v>63</v>
      </c>
      <c r="C17" t="s">
        <v>64</v>
      </c>
      <c r="D17" t="s">
        <v>14</v>
      </c>
      <c r="E17" t="s">
        <v>15</v>
      </c>
      <c r="F17" s="4">
        <v>44833</v>
      </c>
      <c r="G17">
        <v>13</v>
      </c>
      <c r="H17">
        <v>1800</v>
      </c>
      <c r="I17" s="15">
        <f t="shared" si="0"/>
        <v>913</v>
      </c>
      <c r="J17">
        <f t="shared" si="1"/>
        <v>2022</v>
      </c>
      <c r="K17">
        <v>98</v>
      </c>
      <c r="L17">
        <v>92</v>
      </c>
      <c r="M17" s="14" t="str">
        <f t="shared" si="2"/>
        <v>YES</v>
      </c>
      <c r="N17" s="11">
        <f t="shared" si="3"/>
        <v>142.38773274917853</v>
      </c>
    </row>
    <row r="18" spans="1:14" ht="15" x14ac:dyDescent="0.25">
      <c r="A18" t="s">
        <v>65</v>
      </c>
      <c r="B18" t="s">
        <v>66</v>
      </c>
      <c r="C18" t="s">
        <v>67</v>
      </c>
      <c r="D18" t="s">
        <v>19</v>
      </c>
      <c r="E18" t="s">
        <v>20</v>
      </c>
      <c r="F18" s="4">
        <v>43637</v>
      </c>
      <c r="G18">
        <v>9</v>
      </c>
      <c r="H18">
        <v>1400</v>
      </c>
      <c r="I18" s="15">
        <f t="shared" si="0"/>
        <v>2109</v>
      </c>
      <c r="J18">
        <f t="shared" si="1"/>
        <v>2019</v>
      </c>
      <c r="K18">
        <v>91</v>
      </c>
      <c r="L18">
        <v>81</v>
      </c>
      <c r="M18" s="14" t="str">
        <f t="shared" si="2"/>
        <v>NO</v>
      </c>
      <c r="N18" s="11">
        <f t="shared" si="3"/>
        <v>42.674253200568991</v>
      </c>
    </row>
    <row r="19" spans="1:14" ht="15" x14ac:dyDescent="0.25">
      <c r="A19" t="s">
        <v>68</v>
      </c>
      <c r="B19" t="s">
        <v>69</v>
      </c>
      <c r="C19" t="s">
        <v>70</v>
      </c>
      <c r="D19" t="s">
        <v>14</v>
      </c>
      <c r="E19" t="s">
        <v>24</v>
      </c>
      <c r="F19" s="4">
        <v>44324</v>
      </c>
      <c r="G19">
        <v>11</v>
      </c>
      <c r="H19">
        <v>1550</v>
      </c>
      <c r="I19" s="15">
        <f t="shared" si="0"/>
        <v>1422</v>
      </c>
      <c r="J19">
        <f t="shared" si="1"/>
        <v>2021</v>
      </c>
      <c r="K19">
        <v>94</v>
      </c>
      <c r="L19">
        <v>86</v>
      </c>
      <c r="M19" s="14" t="str">
        <f t="shared" si="2"/>
        <v>YES</v>
      </c>
      <c r="N19" s="11">
        <f t="shared" si="3"/>
        <v>77.355836849507739</v>
      </c>
    </row>
    <row r="20" spans="1:14" ht="15" x14ac:dyDescent="0.25">
      <c r="A20" t="s">
        <v>71</v>
      </c>
      <c r="B20" t="s">
        <v>72</v>
      </c>
      <c r="C20" t="s">
        <v>73</v>
      </c>
      <c r="D20" t="s">
        <v>19</v>
      </c>
      <c r="E20" t="s">
        <v>38</v>
      </c>
      <c r="F20" s="4">
        <v>44137</v>
      </c>
      <c r="G20">
        <v>10</v>
      </c>
      <c r="H20">
        <v>1450</v>
      </c>
      <c r="I20" s="15">
        <f t="shared" si="0"/>
        <v>1609</v>
      </c>
      <c r="J20">
        <f t="shared" si="1"/>
        <v>2020</v>
      </c>
      <c r="K20">
        <v>92</v>
      </c>
      <c r="L20">
        <v>83</v>
      </c>
      <c r="M20" s="14" t="str">
        <f t="shared" si="2"/>
        <v>NO</v>
      </c>
      <c r="N20" s="11">
        <f t="shared" si="3"/>
        <v>62.150403977625857</v>
      </c>
    </row>
    <row r="21" spans="1:14" ht="15" x14ac:dyDescent="0.25">
      <c r="A21" t="s">
        <v>74</v>
      </c>
      <c r="B21" t="s">
        <v>75</v>
      </c>
      <c r="C21" t="s">
        <v>76</v>
      </c>
      <c r="D21" t="s">
        <v>14</v>
      </c>
      <c r="E21" t="s">
        <v>15</v>
      </c>
      <c r="F21" s="4">
        <v>44637</v>
      </c>
      <c r="G21">
        <v>12</v>
      </c>
      <c r="H21">
        <v>1700</v>
      </c>
      <c r="I21" s="15">
        <f t="shared" si="0"/>
        <v>1109</v>
      </c>
      <c r="J21">
        <f t="shared" si="1"/>
        <v>2022</v>
      </c>
      <c r="K21">
        <v>97</v>
      </c>
      <c r="L21">
        <v>90</v>
      </c>
      <c r="M21" s="14" t="str">
        <f t="shared" si="2"/>
        <v>YES</v>
      </c>
      <c r="N21" s="11">
        <f t="shared" si="3"/>
        <v>108.20559062218216</v>
      </c>
    </row>
    <row r="22" spans="1:14" ht="15" x14ac:dyDescent="0.25">
      <c r="A22" t="s">
        <v>77</v>
      </c>
      <c r="B22" t="s">
        <v>78</v>
      </c>
      <c r="C22" t="s">
        <v>79</v>
      </c>
      <c r="D22" t="s">
        <v>14</v>
      </c>
      <c r="E22" t="s">
        <v>15</v>
      </c>
      <c r="F22" s="4">
        <v>44453</v>
      </c>
      <c r="G22">
        <v>9</v>
      </c>
      <c r="H22">
        <v>1450</v>
      </c>
      <c r="I22" s="15">
        <f t="shared" si="0"/>
        <v>1293</v>
      </c>
      <c r="J22">
        <f t="shared" si="1"/>
        <v>2021</v>
      </c>
      <c r="K22">
        <v>93</v>
      </c>
      <c r="L22">
        <v>83</v>
      </c>
      <c r="M22" s="14" t="str">
        <f t="shared" si="2"/>
        <v>NO</v>
      </c>
      <c r="N22" s="11">
        <f t="shared" si="3"/>
        <v>69.60556844547564</v>
      </c>
    </row>
    <row r="23" spans="1:14" ht="15" x14ac:dyDescent="0.25">
      <c r="A23" t="s">
        <v>80</v>
      </c>
      <c r="B23" t="s">
        <v>72</v>
      </c>
      <c r="C23" t="s">
        <v>50</v>
      </c>
      <c r="D23" t="s">
        <v>19</v>
      </c>
      <c r="E23" t="s">
        <v>20</v>
      </c>
      <c r="F23" s="4">
        <v>43923</v>
      </c>
      <c r="G23">
        <v>11</v>
      </c>
      <c r="H23">
        <v>1650</v>
      </c>
      <c r="I23" s="15">
        <f t="shared" si="0"/>
        <v>1823</v>
      </c>
      <c r="J23">
        <f t="shared" si="1"/>
        <v>2020</v>
      </c>
      <c r="K23">
        <v>96</v>
      </c>
      <c r="L23">
        <v>88</v>
      </c>
      <c r="M23" s="14" t="str">
        <f t="shared" si="2"/>
        <v>YES</v>
      </c>
      <c r="N23" s="11">
        <f t="shared" si="3"/>
        <v>60.340098738343393</v>
      </c>
    </row>
    <row r="24" spans="1:14" ht="15" x14ac:dyDescent="0.25">
      <c r="A24" t="s">
        <v>81</v>
      </c>
      <c r="B24" t="s">
        <v>82</v>
      </c>
      <c r="C24" t="s">
        <v>83</v>
      </c>
      <c r="D24" t="s">
        <v>14</v>
      </c>
      <c r="E24" t="s">
        <v>24</v>
      </c>
      <c r="F24" s="4">
        <v>44893</v>
      </c>
      <c r="G24">
        <v>6</v>
      </c>
      <c r="H24">
        <v>1100</v>
      </c>
      <c r="I24" s="15">
        <f t="shared" si="0"/>
        <v>853</v>
      </c>
      <c r="J24">
        <f t="shared" si="1"/>
        <v>2022</v>
      </c>
      <c r="K24">
        <v>89</v>
      </c>
      <c r="L24">
        <v>77</v>
      </c>
      <c r="M24" s="14" t="str">
        <f t="shared" si="2"/>
        <v>NO</v>
      </c>
      <c r="N24" s="11">
        <f t="shared" si="3"/>
        <v>70.33997655334116</v>
      </c>
    </row>
    <row r="25" spans="1:14" ht="15" x14ac:dyDescent="0.25">
      <c r="A25" t="s">
        <v>84</v>
      </c>
      <c r="B25" s="5" t="s">
        <v>85</v>
      </c>
      <c r="C25" t="s">
        <v>86</v>
      </c>
      <c r="D25" t="s">
        <v>19</v>
      </c>
      <c r="E25" t="s">
        <v>15</v>
      </c>
      <c r="F25" s="4">
        <v>43999</v>
      </c>
      <c r="G25">
        <v>12</v>
      </c>
      <c r="H25">
        <v>1500</v>
      </c>
      <c r="I25" s="15">
        <f t="shared" si="0"/>
        <v>1747</v>
      </c>
      <c r="J25">
        <f t="shared" si="1"/>
        <v>2020</v>
      </c>
      <c r="K25">
        <v>95</v>
      </c>
      <c r="L25">
        <v>85</v>
      </c>
      <c r="M25" s="14" t="str">
        <f t="shared" si="2"/>
        <v>YES</v>
      </c>
      <c r="N25" s="11">
        <f t="shared" si="3"/>
        <v>68.689181453921009</v>
      </c>
    </row>
    <row r="26" spans="1:14" ht="15" x14ac:dyDescent="0.25">
      <c r="A26" t="s">
        <v>87</v>
      </c>
      <c r="B26" t="s">
        <v>58</v>
      </c>
      <c r="C26" t="s">
        <v>88</v>
      </c>
      <c r="D26" t="s">
        <v>14</v>
      </c>
      <c r="E26" t="s">
        <v>31</v>
      </c>
      <c r="F26" s="4">
        <v>43743</v>
      </c>
      <c r="G26">
        <v>14</v>
      </c>
      <c r="H26">
        <v>1800</v>
      </c>
      <c r="I26" s="15">
        <f t="shared" si="0"/>
        <v>2003</v>
      </c>
      <c r="J26">
        <f t="shared" si="1"/>
        <v>2019</v>
      </c>
      <c r="K26">
        <v>98</v>
      </c>
      <c r="L26">
        <v>90</v>
      </c>
      <c r="M26" s="14" t="str">
        <f t="shared" si="2"/>
        <v>YES</v>
      </c>
      <c r="N26" s="11">
        <f t="shared" si="3"/>
        <v>69.895157264103844</v>
      </c>
    </row>
    <row r="27" spans="1:14" ht="15" x14ac:dyDescent="0.25">
      <c r="A27" t="s">
        <v>89</v>
      </c>
      <c r="B27" t="s">
        <v>90</v>
      </c>
      <c r="C27" t="s">
        <v>91</v>
      </c>
      <c r="D27" t="s">
        <v>19</v>
      </c>
      <c r="E27" t="s">
        <v>38</v>
      </c>
      <c r="F27" s="4">
        <v>44433</v>
      </c>
      <c r="G27">
        <v>8</v>
      </c>
      <c r="H27">
        <v>1350</v>
      </c>
      <c r="I27" s="15">
        <f t="shared" si="0"/>
        <v>1313</v>
      </c>
      <c r="J27">
        <f t="shared" si="1"/>
        <v>2021</v>
      </c>
      <c r="K27">
        <v>92</v>
      </c>
      <c r="L27">
        <v>81</v>
      </c>
      <c r="M27" s="14" t="str">
        <f t="shared" si="2"/>
        <v>NO</v>
      </c>
      <c r="N27" s="11">
        <f t="shared" si="3"/>
        <v>60.929169840060929</v>
      </c>
    </row>
    <row r="28" spans="1:14" ht="15" x14ac:dyDescent="0.25">
      <c r="A28" t="s">
        <v>92</v>
      </c>
      <c r="B28" t="s">
        <v>93</v>
      </c>
      <c r="C28" t="s">
        <v>94</v>
      </c>
      <c r="D28" t="s">
        <v>14</v>
      </c>
      <c r="E28" t="s">
        <v>15</v>
      </c>
      <c r="F28" s="4">
        <v>43903</v>
      </c>
      <c r="G28">
        <v>10</v>
      </c>
      <c r="H28">
        <v>1550</v>
      </c>
      <c r="I28" s="15">
        <f t="shared" si="0"/>
        <v>1843</v>
      </c>
      <c r="J28">
        <f t="shared" si="1"/>
        <v>2020</v>
      </c>
      <c r="K28">
        <v>97</v>
      </c>
      <c r="L28">
        <v>87</v>
      </c>
      <c r="M28" s="14" t="str">
        <f t="shared" si="2"/>
        <v>NO</v>
      </c>
      <c r="N28" s="11">
        <f t="shared" si="3"/>
        <v>54.259359739555073</v>
      </c>
    </row>
    <row r="29" spans="1:14" ht="15" x14ac:dyDescent="0.25">
      <c r="A29" t="s">
        <v>95</v>
      </c>
      <c r="B29" t="s">
        <v>96</v>
      </c>
      <c r="C29" t="s">
        <v>97</v>
      </c>
      <c r="D29" t="s">
        <v>19</v>
      </c>
      <c r="E29" t="s">
        <v>20</v>
      </c>
      <c r="F29" s="4">
        <v>43654</v>
      </c>
      <c r="G29">
        <v>13</v>
      </c>
      <c r="H29">
        <v>1600</v>
      </c>
      <c r="I29" s="15">
        <f t="shared" si="0"/>
        <v>2092</v>
      </c>
      <c r="J29">
        <f t="shared" si="1"/>
        <v>2019</v>
      </c>
      <c r="K29">
        <v>96</v>
      </c>
      <c r="L29">
        <v>84</v>
      </c>
      <c r="M29" s="14" t="str">
        <f t="shared" si="2"/>
        <v>YES</v>
      </c>
      <c r="N29" s="11">
        <f t="shared" si="3"/>
        <v>62.141491395793501</v>
      </c>
    </row>
    <row r="30" spans="1:14" ht="15" x14ac:dyDescent="0.25">
      <c r="A30" t="s">
        <v>98</v>
      </c>
      <c r="B30" t="s">
        <v>99</v>
      </c>
      <c r="C30" t="s">
        <v>100</v>
      </c>
      <c r="D30" t="s">
        <v>14</v>
      </c>
      <c r="E30" t="s">
        <v>38</v>
      </c>
      <c r="F30" s="4">
        <v>44531</v>
      </c>
      <c r="G30">
        <v>9</v>
      </c>
      <c r="H30">
        <v>1300</v>
      </c>
      <c r="I30" s="15">
        <f t="shared" si="0"/>
        <v>1215</v>
      </c>
      <c r="J30">
        <f t="shared" si="1"/>
        <v>2021</v>
      </c>
      <c r="K30">
        <v>91</v>
      </c>
      <c r="L30">
        <v>79</v>
      </c>
      <c r="M30" s="14" t="str">
        <f t="shared" si="2"/>
        <v>NO</v>
      </c>
      <c r="N30" s="11">
        <f t="shared" si="3"/>
        <v>74.074074074074076</v>
      </c>
    </row>
    <row r="31" spans="1:14" ht="15" x14ac:dyDescent="0.25">
      <c r="A31" t="s">
        <v>101</v>
      </c>
      <c r="B31" t="s">
        <v>102</v>
      </c>
      <c r="C31" t="s">
        <v>103</v>
      </c>
      <c r="D31" t="s">
        <v>19</v>
      </c>
      <c r="E31" t="s">
        <v>24</v>
      </c>
      <c r="F31" s="4">
        <v>43973</v>
      </c>
      <c r="G31">
        <v>11</v>
      </c>
      <c r="H31">
        <v>1700</v>
      </c>
      <c r="I31" s="15">
        <f t="shared" si="0"/>
        <v>1773</v>
      </c>
      <c r="J31">
        <f t="shared" si="1"/>
        <v>2020</v>
      </c>
      <c r="K31">
        <v>99</v>
      </c>
      <c r="L31">
        <v>91</v>
      </c>
      <c r="M31" s="14" t="str">
        <f t="shared" si="2"/>
        <v>YES</v>
      </c>
      <c r="N31" s="11">
        <f t="shared" si="3"/>
        <v>62.041737168640722</v>
      </c>
    </row>
    <row r="32" spans="1:14" ht="15" x14ac:dyDescent="0.25">
      <c r="A32" t="s">
        <v>104</v>
      </c>
      <c r="B32" t="s">
        <v>105</v>
      </c>
      <c r="C32" t="s">
        <v>73</v>
      </c>
      <c r="D32" t="s">
        <v>14</v>
      </c>
      <c r="E32" t="s">
        <v>15</v>
      </c>
      <c r="F32" s="4">
        <v>44814</v>
      </c>
      <c r="G32">
        <v>7</v>
      </c>
      <c r="H32">
        <v>1200</v>
      </c>
      <c r="I32" s="15">
        <f t="shared" si="0"/>
        <v>932</v>
      </c>
      <c r="J32">
        <f t="shared" si="1"/>
        <v>2022</v>
      </c>
      <c r="K32">
        <v>88</v>
      </c>
      <c r="L32">
        <v>75</v>
      </c>
      <c r="M32" s="14" t="str">
        <f t="shared" si="2"/>
        <v>NO</v>
      </c>
      <c r="N32" s="11">
        <f t="shared" si="3"/>
        <v>75.107296137339063</v>
      </c>
    </row>
    <row r="33" spans="1:14" ht="15" x14ac:dyDescent="0.25">
      <c r="A33" t="s">
        <v>106</v>
      </c>
      <c r="B33" t="s">
        <v>26</v>
      </c>
      <c r="C33" t="s">
        <v>37</v>
      </c>
      <c r="D33" t="s">
        <v>19</v>
      </c>
      <c r="E33" t="s">
        <v>31</v>
      </c>
      <c r="F33" s="4">
        <v>44073</v>
      </c>
      <c r="G33">
        <v>15</v>
      </c>
      <c r="H33">
        <v>1850</v>
      </c>
      <c r="I33" s="15">
        <f t="shared" si="0"/>
        <v>1673</v>
      </c>
      <c r="J33">
        <f t="shared" si="1"/>
        <v>2020</v>
      </c>
      <c r="K33">
        <v>99</v>
      </c>
      <c r="L33">
        <v>92</v>
      </c>
      <c r="M33" s="14" t="str">
        <f t="shared" si="2"/>
        <v>YES</v>
      </c>
      <c r="N33" s="11">
        <f t="shared" si="3"/>
        <v>89.659294680215183</v>
      </c>
    </row>
    <row r="34" spans="1:14" ht="15" x14ac:dyDescent="0.25">
      <c r="A34" t="s">
        <v>107</v>
      </c>
      <c r="B34" t="s">
        <v>108</v>
      </c>
      <c r="C34" t="s">
        <v>109</v>
      </c>
      <c r="D34" t="s">
        <v>14</v>
      </c>
      <c r="E34" t="s">
        <v>38</v>
      </c>
      <c r="F34" s="4">
        <v>43780</v>
      </c>
      <c r="G34">
        <v>10</v>
      </c>
      <c r="H34">
        <v>1400</v>
      </c>
      <c r="I34" s="15">
        <f t="shared" ref="I34:I65" si="4">DATE(2025, 3, 30) - F34</f>
        <v>1966</v>
      </c>
      <c r="J34">
        <f t="shared" ref="J34:J65" si="5">YEAR(F34)</f>
        <v>2019</v>
      </c>
      <c r="K34">
        <v>92</v>
      </c>
      <c r="L34">
        <v>80</v>
      </c>
      <c r="M34" s="14" t="str">
        <f t="shared" ref="M34:M65" si="6">IF(G34&gt;10,"YES","NO")</f>
        <v>NO</v>
      </c>
      <c r="N34" s="11">
        <f t="shared" ref="N34:N65" si="7">G34/I34*10000</f>
        <v>50.864699898270601</v>
      </c>
    </row>
    <row r="35" spans="1:14" ht="15" x14ac:dyDescent="0.25">
      <c r="A35" t="s">
        <v>110</v>
      </c>
      <c r="B35" t="s">
        <v>111</v>
      </c>
      <c r="C35" t="s">
        <v>112</v>
      </c>
      <c r="D35" t="s">
        <v>19</v>
      </c>
      <c r="E35" t="s">
        <v>20</v>
      </c>
      <c r="F35" s="4">
        <v>44319</v>
      </c>
      <c r="G35">
        <v>12</v>
      </c>
      <c r="H35">
        <v>1500</v>
      </c>
      <c r="I35" s="15">
        <f t="shared" si="4"/>
        <v>1427</v>
      </c>
      <c r="J35">
        <f t="shared" si="5"/>
        <v>2021</v>
      </c>
      <c r="K35">
        <v>94</v>
      </c>
      <c r="L35">
        <v>86</v>
      </c>
      <c r="M35" s="14" t="str">
        <f t="shared" si="6"/>
        <v>YES</v>
      </c>
      <c r="N35" s="11">
        <f t="shared" si="7"/>
        <v>84.092501751927131</v>
      </c>
    </row>
    <row r="36" spans="1:14" ht="15" x14ac:dyDescent="0.25">
      <c r="A36" t="s">
        <v>113</v>
      </c>
      <c r="B36" t="s">
        <v>114</v>
      </c>
      <c r="C36" t="s">
        <v>34</v>
      </c>
      <c r="D36" t="s">
        <v>14</v>
      </c>
      <c r="E36" t="s">
        <v>24</v>
      </c>
      <c r="F36" s="4">
        <v>43881</v>
      </c>
      <c r="G36">
        <v>11</v>
      </c>
      <c r="H36">
        <v>1650</v>
      </c>
      <c r="I36" s="15">
        <f t="shared" si="4"/>
        <v>1865</v>
      </c>
      <c r="J36">
        <f t="shared" si="5"/>
        <v>2020</v>
      </c>
      <c r="K36">
        <v>96</v>
      </c>
      <c r="L36">
        <v>88</v>
      </c>
      <c r="M36" s="14" t="str">
        <f t="shared" si="6"/>
        <v>YES</v>
      </c>
      <c r="N36" s="11">
        <f t="shared" si="7"/>
        <v>58.981233243967829</v>
      </c>
    </row>
    <row r="37" spans="1:14" ht="15" x14ac:dyDescent="0.25">
      <c r="A37" t="s">
        <v>115</v>
      </c>
      <c r="B37" t="s">
        <v>116</v>
      </c>
      <c r="C37" t="s">
        <v>59</v>
      </c>
      <c r="D37" t="s">
        <v>19</v>
      </c>
      <c r="E37" t="s">
        <v>15</v>
      </c>
      <c r="F37" s="4">
        <v>44576</v>
      </c>
      <c r="G37">
        <v>8</v>
      </c>
      <c r="H37">
        <v>1350</v>
      </c>
      <c r="I37" s="15">
        <f t="shared" si="4"/>
        <v>1170</v>
      </c>
      <c r="J37">
        <f t="shared" si="5"/>
        <v>2022</v>
      </c>
      <c r="K37">
        <v>95</v>
      </c>
      <c r="L37">
        <v>82</v>
      </c>
      <c r="M37" s="14" t="str">
        <f t="shared" si="6"/>
        <v>NO</v>
      </c>
      <c r="N37" s="11">
        <f t="shared" si="7"/>
        <v>68.376068376068375</v>
      </c>
    </row>
    <row r="38" spans="1:14" ht="15" x14ac:dyDescent="0.25">
      <c r="A38" t="s">
        <v>117</v>
      </c>
      <c r="B38" t="s">
        <v>118</v>
      </c>
      <c r="C38" t="s">
        <v>23</v>
      </c>
      <c r="D38" t="s">
        <v>14</v>
      </c>
      <c r="E38" t="s">
        <v>31</v>
      </c>
      <c r="F38" s="4">
        <v>43552</v>
      </c>
      <c r="G38">
        <v>13</v>
      </c>
      <c r="H38">
        <v>1750</v>
      </c>
      <c r="I38" s="15">
        <f t="shared" si="4"/>
        <v>2194</v>
      </c>
      <c r="J38">
        <f t="shared" si="5"/>
        <v>2019</v>
      </c>
      <c r="K38">
        <v>97</v>
      </c>
      <c r="L38">
        <v>89</v>
      </c>
      <c r="M38" s="14" t="str">
        <f t="shared" si="6"/>
        <v>YES</v>
      </c>
      <c r="N38" s="11">
        <f t="shared" si="7"/>
        <v>59.252506836827706</v>
      </c>
    </row>
    <row r="39" spans="1:14" ht="15" x14ac:dyDescent="0.25">
      <c r="A39" t="s">
        <v>119</v>
      </c>
      <c r="B39" t="s">
        <v>55</v>
      </c>
      <c r="C39" t="s">
        <v>120</v>
      </c>
      <c r="D39" t="s">
        <v>19</v>
      </c>
      <c r="E39" t="s">
        <v>38</v>
      </c>
      <c r="F39" s="4">
        <v>44393</v>
      </c>
      <c r="G39">
        <v>9</v>
      </c>
      <c r="H39">
        <v>1300</v>
      </c>
      <c r="I39" s="15">
        <f t="shared" si="4"/>
        <v>1353</v>
      </c>
      <c r="J39">
        <f t="shared" si="5"/>
        <v>2021</v>
      </c>
      <c r="K39">
        <v>91</v>
      </c>
      <c r="L39">
        <v>78</v>
      </c>
      <c r="M39" s="14" t="str">
        <f t="shared" si="6"/>
        <v>NO</v>
      </c>
      <c r="N39" s="11">
        <f t="shared" si="7"/>
        <v>66.518847006651882</v>
      </c>
    </row>
    <row r="40" spans="1:14" ht="15" x14ac:dyDescent="0.25">
      <c r="A40" t="s">
        <v>121</v>
      </c>
      <c r="B40" t="s">
        <v>122</v>
      </c>
      <c r="C40" t="s">
        <v>56</v>
      </c>
      <c r="D40" t="s">
        <v>14</v>
      </c>
      <c r="E40" t="s">
        <v>20</v>
      </c>
      <c r="F40" s="4">
        <v>44113</v>
      </c>
      <c r="G40">
        <v>10</v>
      </c>
      <c r="H40">
        <v>1550</v>
      </c>
      <c r="I40" s="15">
        <f t="shared" si="4"/>
        <v>1633</v>
      </c>
      <c r="J40">
        <f t="shared" si="5"/>
        <v>2020</v>
      </c>
      <c r="K40">
        <v>93</v>
      </c>
      <c r="L40">
        <v>84</v>
      </c>
      <c r="M40" s="14" t="str">
        <f t="shared" si="6"/>
        <v>NO</v>
      </c>
      <c r="N40" s="11">
        <f t="shared" si="7"/>
        <v>61.236987140232699</v>
      </c>
    </row>
    <row r="41" spans="1:14" ht="15" x14ac:dyDescent="0.25">
      <c r="A41" t="s">
        <v>123</v>
      </c>
      <c r="B41" t="s">
        <v>124</v>
      </c>
      <c r="C41" t="s">
        <v>125</v>
      </c>
      <c r="D41" t="s">
        <v>19</v>
      </c>
      <c r="E41" t="s">
        <v>15</v>
      </c>
      <c r="F41" s="4">
        <v>44730</v>
      </c>
      <c r="G41">
        <v>12</v>
      </c>
      <c r="H41">
        <v>1600</v>
      </c>
      <c r="I41" s="15">
        <f t="shared" si="4"/>
        <v>1016</v>
      </c>
      <c r="J41">
        <f t="shared" si="5"/>
        <v>2022</v>
      </c>
      <c r="K41">
        <v>98</v>
      </c>
      <c r="L41">
        <v>87</v>
      </c>
      <c r="M41" s="14" t="str">
        <f t="shared" si="6"/>
        <v>YES</v>
      </c>
      <c r="N41" s="11">
        <f t="shared" si="7"/>
        <v>118.11023622047244</v>
      </c>
    </row>
    <row r="42" spans="1:14" ht="15" x14ac:dyDescent="0.25">
      <c r="A42" t="s">
        <v>126</v>
      </c>
      <c r="B42" t="s">
        <v>127</v>
      </c>
      <c r="C42" t="s">
        <v>128</v>
      </c>
      <c r="D42" t="s">
        <v>14</v>
      </c>
      <c r="E42" t="s">
        <v>15</v>
      </c>
      <c r="F42" s="4">
        <v>43934</v>
      </c>
      <c r="G42">
        <v>9</v>
      </c>
      <c r="H42">
        <v>1450</v>
      </c>
      <c r="I42" s="15">
        <f t="shared" si="4"/>
        <v>1812</v>
      </c>
      <c r="J42">
        <f t="shared" si="5"/>
        <v>2020</v>
      </c>
      <c r="K42">
        <v>93</v>
      </c>
      <c r="L42">
        <v>83</v>
      </c>
      <c r="M42" s="14" t="str">
        <f t="shared" si="6"/>
        <v>NO</v>
      </c>
      <c r="N42" s="11">
        <f t="shared" si="7"/>
        <v>49.668874172185433</v>
      </c>
    </row>
    <row r="43" spans="1:14" ht="15" x14ac:dyDescent="0.25">
      <c r="A43" t="s">
        <v>129</v>
      </c>
      <c r="B43" t="s">
        <v>130</v>
      </c>
      <c r="C43" t="s">
        <v>131</v>
      </c>
      <c r="D43" t="s">
        <v>19</v>
      </c>
      <c r="E43" t="s">
        <v>20</v>
      </c>
      <c r="F43" s="4">
        <v>44203</v>
      </c>
      <c r="G43">
        <v>10</v>
      </c>
      <c r="H43">
        <v>1500</v>
      </c>
      <c r="I43" s="15">
        <f t="shared" si="4"/>
        <v>1543</v>
      </c>
      <c r="J43">
        <f t="shared" si="5"/>
        <v>2021</v>
      </c>
      <c r="K43">
        <v>95</v>
      </c>
      <c r="L43">
        <v>88</v>
      </c>
      <c r="M43" s="14" t="str">
        <f t="shared" si="6"/>
        <v>NO</v>
      </c>
      <c r="N43" s="11">
        <f t="shared" si="7"/>
        <v>64.808813998703826</v>
      </c>
    </row>
    <row r="44" spans="1:14" ht="15" x14ac:dyDescent="0.25">
      <c r="A44" t="s">
        <v>132</v>
      </c>
      <c r="B44" t="s">
        <v>75</v>
      </c>
      <c r="C44" t="s">
        <v>125</v>
      </c>
      <c r="D44" t="s">
        <v>14</v>
      </c>
      <c r="E44" t="s">
        <v>24</v>
      </c>
      <c r="F44" s="4">
        <v>43727</v>
      </c>
      <c r="G44">
        <v>8</v>
      </c>
      <c r="H44">
        <v>1200</v>
      </c>
      <c r="I44" s="15">
        <f t="shared" si="4"/>
        <v>2019</v>
      </c>
      <c r="J44">
        <f t="shared" si="5"/>
        <v>2019</v>
      </c>
      <c r="K44">
        <v>89</v>
      </c>
      <c r="L44">
        <v>78</v>
      </c>
      <c r="M44" s="14" t="str">
        <f t="shared" si="6"/>
        <v>NO</v>
      </c>
      <c r="N44" s="11">
        <f t="shared" si="7"/>
        <v>39.623576027736505</v>
      </c>
    </row>
    <row r="45" spans="1:14" ht="15" x14ac:dyDescent="0.25">
      <c r="A45" t="s">
        <v>133</v>
      </c>
      <c r="B45" t="s">
        <v>17</v>
      </c>
      <c r="C45" t="s">
        <v>67</v>
      </c>
      <c r="D45" t="s">
        <v>19</v>
      </c>
      <c r="E45" t="s">
        <v>38</v>
      </c>
      <c r="F45" s="4">
        <v>44757</v>
      </c>
      <c r="G45">
        <v>12</v>
      </c>
      <c r="H45">
        <v>1650</v>
      </c>
      <c r="I45" s="15">
        <f t="shared" si="4"/>
        <v>989</v>
      </c>
      <c r="J45">
        <f t="shared" si="5"/>
        <v>2022</v>
      </c>
      <c r="K45">
        <v>98</v>
      </c>
      <c r="L45">
        <v>92</v>
      </c>
      <c r="M45" s="14" t="str">
        <f t="shared" si="6"/>
        <v>YES</v>
      </c>
      <c r="N45" s="11">
        <f t="shared" si="7"/>
        <v>121.33468149646107</v>
      </c>
    </row>
    <row r="46" spans="1:14" ht="15" x14ac:dyDescent="0.25">
      <c r="A46" t="s">
        <v>134</v>
      </c>
      <c r="B46" t="s">
        <v>69</v>
      </c>
      <c r="C46" t="s">
        <v>135</v>
      </c>
      <c r="D46" t="s">
        <v>14</v>
      </c>
      <c r="E46" t="s">
        <v>31</v>
      </c>
      <c r="F46" s="4">
        <v>43890</v>
      </c>
      <c r="G46">
        <v>11</v>
      </c>
      <c r="H46">
        <v>1550</v>
      </c>
      <c r="I46" s="15">
        <f t="shared" si="4"/>
        <v>1856</v>
      </c>
      <c r="J46">
        <f t="shared" si="5"/>
        <v>2020</v>
      </c>
      <c r="K46">
        <v>94</v>
      </c>
      <c r="L46">
        <v>85</v>
      </c>
      <c r="M46" s="14" t="str">
        <f t="shared" si="6"/>
        <v>YES</v>
      </c>
      <c r="N46" s="11">
        <f t="shared" si="7"/>
        <v>59.267241379310342</v>
      </c>
    </row>
    <row r="47" spans="1:14" ht="15" x14ac:dyDescent="0.25">
      <c r="A47" t="s">
        <v>136</v>
      </c>
      <c r="B47" t="s">
        <v>137</v>
      </c>
      <c r="C47" t="s">
        <v>138</v>
      </c>
      <c r="D47" t="s">
        <v>19</v>
      </c>
      <c r="E47" t="s">
        <v>15</v>
      </c>
      <c r="F47" s="4">
        <v>44489</v>
      </c>
      <c r="G47">
        <v>14</v>
      </c>
      <c r="H47">
        <v>1800</v>
      </c>
      <c r="I47" s="15">
        <f t="shared" si="4"/>
        <v>1257</v>
      </c>
      <c r="J47">
        <f t="shared" si="5"/>
        <v>2021</v>
      </c>
      <c r="K47">
        <v>97</v>
      </c>
      <c r="L47">
        <v>90</v>
      </c>
      <c r="M47" s="14" t="str">
        <f t="shared" si="6"/>
        <v>YES</v>
      </c>
      <c r="N47" s="11">
        <f t="shared" si="7"/>
        <v>111.37629276054098</v>
      </c>
    </row>
    <row r="48" spans="1:14" ht="15" x14ac:dyDescent="0.25">
      <c r="A48" t="s">
        <v>139</v>
      </c>
      <c r="B48" t="s">
        <v>140</v>
      </c>
      <c r="C48" t="s">
        <v>73</v>
      </c>
      <c r="D48" t="s">
        <v>14</v>
      </c>
      <c r="E48" t="s">
        <v>20</v>
      </c>
      <c r="F48" s="4">
        <v>43595</v>
      </c>
      <c r="G48">
        <v>9</v>
      </c>
      <c r="H48">
        <v>1500</v>
      </c>
      <c r="I48" s="15">
        <f t="shared" si="4"/>
        <v>2151</v>
      </c>
      <c r="J48">
        <f t="shared" si="5"/>
        <v>2019</v>
      </c>
      <c r="K48">
        <v>92</v>
      </c>
      <c r="L48">
        <v>86</v>
      </c>
      <c r="M48" s="14" t="str">
        <f t="shared" si="6"/>
        <v>NO</v>
      </c>
      <c r="N48" s="11">
        <f t="shared" si="7"/>
        <v>41.841004184100413</v>
      </c>
    </row>
    <row r="49" spans="1:14" ht="15" x14ac:dyDescent="0.25">
      <c r="A49" t="s">
        <v>141</v>
      </c>
      <c r="B49" t="s">
        <v>66</v>
      </c>
      <c r="C49" t="s">
        <v>37</v>
      </c>
      <c r="D49" t="s">
        <v>19</v>
      </c>
      <c r="E49" t="s">
        <v>24</v>
      </c>
      <c r="F49" s="4">
        <v>43983</v>
      </c>
      <c r="G49">
        <v>7</v>
      </c>
      <c r="H49">
        <v>1300</v>
      </c>
      <c r="I49" s="15">
        <f t="shared" si="4"/>
        <v>1763</v>
      </c>
      <c r="J49">
        <f t="shared" si="5"/>
        <v>2020</v>
      </c>
      <c r="K49">
        <v>90</v>
      </c>
      <c r="L49">
        <v>79</v>
      </c>
      <c r="M49" s="14" t="str">
        <f t="shared" si="6"/>
        <v>NO</v>
      </c>
      <c r="N49" s="11">
        <f t="shared" si="7"/>
        <v>39.705048213272825</v>
      </c>
    </row>
    <row r="50" spans="1:14" ht="15" x14ac:dyDescent="0.25">
      <c r="A50" t="s">
        <v>142</v>
      </c>
      <c r="B50" t="s">
        <v>143</v>
      </c>
      <c r="C50" t="s">
        <v>144</v>
      </c>
      <c r="D50" t="s">
        <v>14</v>
      </c>
      <c r="E50" t="s">
        <v>38</v>
      </c>
      <c r="F50" s="4">
        <v>44542</v>
      </c>
      <c r="G50">
        <v>10</v>
      </c>
      <c r="H50">
        <v>1450</v>
      </c>
      <c r="I50" s="15">
        <f t="shared" si="4"/>
        <v>1204</v>
      </c>
      <c r="J50">
        <f t="shared" si="5"/>
        <v>2021</v>
      </c>
      <c r="K50">
        <v>95</v>
      </c>
      <c r="L50">
        <v>82</v>
      </c>
      <c r="M50" s="14" t="str">
        <f t="shared" si="6"/>
        <v>NO</v>
      </c>
      <c r="N50" s="11">
        <f t="shared" si="7"/>
        <v>83.056478405315616</v>
      </c>
    </row>
    <row r="51" spans="1:14" ht="15" x14ac:dyDescent="0.25">
      <c r="A51" t="s">
        <v>145</v>
      </c>
      <c r="B51" t="s">
        <v>116</v>
      </c>
      <c r="C51" t="s">
        <v>59</v>
      </c>
      <c r="D51" t="s">
        <v>19</v>
      </c>
      <c r="E51" t="s">
        <v>15</v>
      </c>
      <c r="F51" s="4">
        <v>44638</v>
      </c>
      <c r="G51">
        <v>11</v>
      </c>
      <c r="H51">
        <v>1650</v>
      </c>
      <c r="I51" s="15">
        <f t="shared" si="4"/>
        <v>1108</v>
      </c>
      <c r="J51">
        <f t="shared" si="5"/>
        <v>2022</v>
      </c>
      <c r="K51">
        <v>98</v>
      </c>
      <c r="L51">
        <v>88</v>
      </c>
      <c r="M51" s="14" t="str">
        <f t="shared" si="6"/>
        <v>YES</v>
      </c>
      <c r="N51" s="11">
        <f t="shared" si="7"/>
        <v>99.277978339350184</v>
      </c>
    </row>
    <row r="52" spans="1:14" ht="15" x14ac:dyDescent="0.25">
      <c r="A52" t="s">
        <v>146</v>
      </c>
      <c r="B52" t="s">
        <v>147</v>
      </c>
      <c r="C52" t="s">
        <v>64</v>
      </c>
      <c r="D52" t="s">
        <v>14</v>
      </c>
      <c r="E52" t="s">
        <v>31</v>
      </c>
      <c r="F52" s="4">
        <v>43699</v>
      </c>
      <c r="G52">
        <v>13</v>
      </c>
      <c r="H52">
        <v>1750</v>
      </c>
      <c r="I52" s="15">
        <f t="shared" si="4"/>
        <v>2047</v>
      </c>
      <c r="J52">
        <f t="shared" si="5"/>
        <v>2019</v>
      </c>
      <c r="K52">
        <v>96</v>
      </c>
      <c r="L52">
        <v>89</v>
      </c>
      <c r="M52" s="14" t="str">
        <f t="shared" si="6"/>
        <v>YES</v>
      </c>
      <c r="N52" s="11">
        <f t="shared" si="7"/>
        <v>63.507572056668295</v>
      </c>
    </row>
    <row r="53" spans="1:14" ht="15" x14ac:dyDescent="0.25">
      <c r="A53" t="s">
        <v>148</v>
      </c>
      <c r="B53" t="s">
        <v>55</v>
      </c>
      <c r="C53" t="s">
        <v>149</v>
      </c>
      <c r="D53" t="s">
        <v>19</v>
      </c>
      <c r="E53" t="s">
        <v>20</v>
      </c>
      <c r="F53" s="4">
        <v>44448</v>
      </c>
      <c r="G53">
        <v>10</v>
      </c>
      <c r="H53">
        <v>1600</v>
      </c>
      <c r="I53" s="15">
        <f t="shared" si="4"/>
        <v>1298</v>
      </c>
      <c r="J53">
        <f t="shared" si="5"/>
        <v>2021</v>
      </c>
      <c r="K53">
        <v>97</v>
      </c>
      <c r="L53">
        <v>91</v>
      </c>
      <c r="M53" s="14" t="str">
        <f t="shared" si="6"/>
        <v>NO</v>
      </c>
      <c r="N53" s="11">
        <f t="shared" si="7"/>
        <v>77.04160246533128</v>
      </c>
    </row>
    <row r="54" spans="1:14" ht="15" x14ac:dyDescent="0.25">
      <c r="A54" t="s">
        <v>150</v>
      </c>
      <c r="B54" t="s">
        <v>52</v>
      </c>
      <c r="C54" t="s">
        <v>151</v>
      </c>
      <c r="D54" t="s">
        <v>14</v>
      </c>
      <c r="E54" t="s">
        <v>24</v>
      </c>
      <c r="F54" s="4">
        <v>44169</v>
      </c>
      <c r="G54">
        <v>8</v>
      </c>
      <c r="H54">
        <v>1450</v>
      </c>
      <c r="I54" s="15">
        <f t="shared" si="4"/>
        <v>1577</v>
      </c>
      <c r="J54">
        <f t="shared" si="5"/>
        <v>2020</v>
      </c>
      <c r="K54">
        <v>92</v>
      </c>
      <c r="L54">
        <v>83</v>
      </c>
      <c r="M54" s="14" t="str">
        <f t="shared" si="6"/>
        <v>NO</v>
      </c>
      <c r="N54" s="11">
        <f t="shared" si="7"/>
        <v>50.729232720355107</v>
      </c>
    </row>
    <row r="55" spans="1:14" ht="15" x14ac:dyDescent="0.25">
      <c r="A55" t="s">
        <v>152</v>
      </c>
      <c r="B55" t="s">
        <v>153</v>
      </c>
      <c r="C55" t="s">
        <v>154</v>
      </c>
      <c r="D55" t="s">
        <v>19</v>
      </c>
      <c r="E55" t="s">
        <v>38</v>
      </c>
      <c r="F55" s="4">
        <v>44241</v>
      </c>
      <c r="G55">
        <v>9</v>
      </c>
      <c r="H55">
        <v>1400</v>
      </c>
      <c r="I55" s="15">
        <f t="shared" si="4"/>
        <v>1505</v>
      </c>
      <c r="J55">
        <f t="shared" si="5"/>
        <v>2021</v>
      </c>
      <c r="K55">
        <v>93</v>
      </c>
      <c r="L55">
        <v>80</v>
      </c>
      <c r="M55" s="14" t="str">
        <f t="shared" si="6"/>
        <v>NO</v>
      </c>
      <c r="N55" s="11">
        <f t="shared" si="7"/>
        <v>59.800664451827238</v>
      </c>
    </row>
    <row r="56" spans="1:14" ht="15" x14ac:dyDescent="0.25">
      <c r="A56" t="s">
        <v>155</v>
      </c>
      <c r="B56" t="s">
        <v>156</v>
      </c>
      <c r="C56" t="s">
        <v>157</v>
      </c>
      <c r="D56" t="s">
        <v>14</v>
      </c>
      <c r="E56" t="s">
        <v>15</v>
      </c>
      <c r="F56" s="4">
        <v>44656</v>
      </c>
      <c r="G56">
        <v>12</v>
      </c>
      <c r="H56">
        <v>1550</v>
      </c>
      <c r="I56" s="15">
        <f t="shared" si="4"/>
        <v>1090</v>
      </c>
      <c r="J56">
        <f t="shared" si="5"/>
        <v>2022</v>
      </c>
      <c r="K56">
        <v>95</v>
      </c>
      <c r="L56">
        <v>86</v>
      </c>
      <c r="M56" s="14" t="str">
        <f t="shared" si="6"/>
        <v>YES</v>
      </c>
      <c r="N56" s="11">
        <f t="shared" si="7"/>
        <v>110.09174311926606</v>
      </c>
    </row>
    <row r="57" spans="1:14" ht="15" x14ac:dyDescent="0.25">
      <c r="A57" t="s">
        <v>158</v>
      </c>
      <c r="B57" t="s">
        <v>124</v>
      </c>
      <c r="C57" t="s">
        <v>159</v>
      </c>
      <c r="D57" t="s">
        <v>19</v>
      </c>
      <c r="E57" t="s">
        <v>31</v>
      </c>
      <c r="F57" s="4">
        <v>44157</v>
      </c>
      <c r="G57">
        <v>10</v>
      </c>
      <c r="H57">
        <v>1500</v>
      </c>
      <c r="I57" s="15">
        <f t="shared" si="4"/>
        <v>1589</v>
      </c>
      <c r="J57">
        <f t="shared" si="5"/>
        <v>2020</v>
      </c>
      <c r="K57">
        <v>94</v>
      </c>
      <c r="L57">
        <v>84</v>
      </c>
      <c r="M57" s="14" t="str">
        <f t="shared" si="6"/>
        <v>NO</v>
      </c>
      <c r="N57" s="11">
        <f t="shared" si="7"/>
        <v>62.932662051604787</v>
      </c>
    </row>
    <row r="58" spans="1:14" ht="15" x14ac:dyDescent="0.25">
      <c r="A58" t="s">
        <v>160</v>
      </c>
      <c r="B58" t="s">
        <v>58</v>
      </c>
      <c r="C58" t="s">
        <v>161</v>
      </c>
      <c r="D58" t="s">
        <v>14</v>
      </c>
      <c r="E58" t="s">
        <v>20</v>
      </c>
      <c r="F58" s="4">
        <v>44416</v>
      </c>
      <c r="G58">
        <v>11</v>
      </c>
      <c r="H58">
        <v>1600</v>
      </c>
      <c r="I58" s="15">
        <f t="shared" si="4"/>
        <v>1330</v>
      </c>
      <c r="J58">
        <f t="shared" si="5"/>
        <v>2021</v>
      </c>
      <c r="K58">
        <v>96</v>
      </c>
      <c r="L58">
        <v>87</v>
      </c>
      <c r="M58" s="14" t="str">
        <f t="shared" si="6"/>
        <v>YES</v>
      </c>
      <c r="N58" s="11">
        <f t="shared" si="7"/>
        <v>82.706766917293223</v>
      </c>
    </row>
    <row r="59" spans="1:14" ht="15" x14ac:dyDescent="0.25">
      <c r="A59" t="s">
        <v>162</v>
      </c>
      <c r="B59" t="s">
        <v>49</v>
      </c>
      <c r="C59" t="s">
        <v>163</v>
      </c>
      <c r="D59" t="s">
        <v>19</v>
      </c>
      <c r="E59" t="s">
        <v>24</v>
      </c>
      <c r="F59" s="4">
        <v>44711</v>
      </c>
      <c r="G59">
        <v>13</v>
      </c>
      <c r="H59">
        <v>1750</v>
      </c>
      <c r="I59" s="15">
        <f t="shared" si="4"/>
        <v>1035</v>
      </c>
      <c r="J59">
        <f t="shared" si="5"/>
        <v>2022</v>
      </c>
      <c r="K59">
        <v>97</v>
      </c>
      <c r="L59">
        <v>90</v>
      </c>
      <c r="M59" s="14" t="str">
        <f t="shared" si="6"/>
        <v>YES</v>
      </c>
      <c r="N59" s="11">
        <f t="shared" si="7"/>
        <v>125.60386473429951</v>
      </c>
    </row>
    <row r="60" spans="1:14" ht="15" x14ac:dyDescent="0.25">
      <c r="A60" t="s">
        <v>164</v>
      </c>
      <c r="B60" t="s">
        <v>63</v>
      </c>
      <c r="C60" t="s">
        <v>165</v>
      </c>
      <c r="D60" t="s">
        <v>14</v>
      </c>
      <c r="E60" t="s">
        <v>38</v>
      </c>
      <c r="F60" s="4">
        <v>43658</v>
      </c>
      <c r="G60">
        <v>8</v>
      </c>
      <c r="H60">
        <v>1200</v>
      </c>
      <c r="I60" s="15">
        <f t="shared" si="4"/>
        <v>2088</v>
      </c>
      <c r="J60">
        <f t="shared" si="5"/>
        <v>2019</v>
      </c>
      <c r="K60">
        <v>88</v>
      </c>
      <c r="L60">
        <v>75</v>
      </c>
      <c r="M60" s="14" t="str">
        <f t="shared" si="6"/>
        <v>NO</v>
      </c>
      <c r="N60" s="11">
        <f t="shared" si="7"/>
        <v>38.314176245210724</v>
      </c>
    </row>
    <row r="61" spans="1:14" ht="15" x14ac:dyDescent="0.25">
      <c r="A61" t="s">
        <v>166</v>
      </c>
      <c r="B61" t="s">
        <v>90</v>
      </c>
      <c r="C61" t="s">
        <v>50</v>
      </c>
      <c r="D61" t="s">
        <v>19</v>
      </c>
      <c r="E61" t="s">
        <v>15</v>
      </c>
      <c r="F61" s="4">
        <v>44364</v>
      </c>
      <c r="G61">
        <v>14</v>
      </c>
      <c r="H61">
        <v>1800</v>
      </c>
      <c r="I61" s="15">
        <f t="shared" si="4"/>
        <v>1382</v>
      </c>
      <c r="J61">
        <f t="shared" si="5"/>
        <v>2021</v>
      </c>
      <c r="K61">
        <v>99</v>
      </c>
      <c r="L61">
        <v>92</v>
      </c>
      <c r="M61" s="14" t="str">
        <f t="shared" si="6"/>
        <v>YES</v>
      </c>
      <c r="N61" s="11">
        <f t="shared" si="7"/>
        <v>101.30246020260492</v>
      </c>
    </row>
    <row r="62" spans="1:14" ht="15" x14ac:dyDescent="0.25">
      <c r="A62" t="s">
        <v>167</v>
      </c>
      <c r="B62" t="s">
        <v>168</v>
      </c>
      <c r="C62" t="s">
        <v>131</v>
      </c>
      <c r="D62" t="s">
        <v>14</v>
      </c>
      <c r="E62" t="s">
        <v>20</v>
      </c>
      <c r="F62" s="4">
        <v>44103</v>
      </c>
      <c r="G62">
        <v>10</v>
      </c>
      <c r="H62">
        <v>1450</v>
      </c>
      <c r="I62" s="15">
        <f t="shared" si="4"/>
        <v>1643</v>
      </c>
      <c r="J62">
        <f t="shared" si="5"/>
        <v>2020</v>
      </c>
      <c r="K62">
        <v>91</v>
      </c>
      <c r="L62">
        <v>80</v>
      </c>
      <c r="M62" s="14" t="str">
        <f t="shared" si="6"/>
        <v>NO</v>
      </c>
      <c r="N62" s="11">
        <f t="shared" si="7"/>
        <v>60.864272671941571</v>
      </c>
    </row>
    <row r="63" spans="1:14" ht="15" x14ac:dyDescent="0.25">
      <c r="A63" t="s">
        <v>169</v>
      </c>
      <c r="B63" t="s">
        <v>170</v>
      </c>
      <c r="C63" t="s">
        <v>171</v>
      </c>
      <c r="D63" t="s">
        <v>19</v>
      </c>
      <c r="E63" t="s">
        <v>24</v>
      </c>
      <c r="F63" s="4">
        <v>44280</v>
      </c>
      <c r="G63">
        <v>12</v>
      </c>
      <c r="H63">
        <v>1650</v>
      </c>
      <c r="I63" s="15">
        <f t="shared" si="4"/>
        <v>1466</v>
      </c>
      <c r="J63">
        <f t="shared" si="5"/>
        <v>2021</v>
      </c>
      <c r="K63">
        <v>96</v>
      </c>
      <c r="L63">
        <v>88</v>
      </c>
      <c r="M63" s="14" t="str">
        <f t="shared" si="6"/>
        <v>YES</v>
      </c>
      <c r="N63" s="11">
        <f t="shared" si="7"/>
        <v>81.855388813096852</v>
      </c>
    </row>
    <row r="64" spans="1:14" ht="15" x14ac:dyDescent="0.25">
      <c r="A64" t="s">
        <v>172</v>
      </c>
      <c r="B64" t="s">
        <v>99</v>
      </c>
      <c r="C64" t="s">
        <v>173</v>
      </c>
      <c r="D64" t="s">
        <v>14</v>
      </c>
      <c r="E64" t="s">
        <v>38</v>
      </c>
      <c r="F64" s="4">
        <v>44610</v>
      </c>
      <c r="G64">
        <v>9</v>
      </c>
      <c r="H64">
        <v>1500</v>
      </c>
      <c r="I64" s="15">
        <f t="shared" si="4"/>
        <v>1136</v>
      </c>
      <c r="J64">
        <f t="shared" si="5"/>
        <v>2022</v>
      </c>
      <c r="K64">
        <v>94</v>
      </c>
      <c r="L64">
        <v>83</v>
      </c>
      <c r="M64" s="14" t="str">
        <f t="shared" si="6"/>
        <v>NO</v>
      </c>
      <c r="N64" s="11">
        <f t="shared" si="7"/>
        <v>79.225352112676049</v>
      </c>
    </row>
    <row r="65" spans="1:14" ht="15" x14ac:dyDescent="0.25">
      <c r="A65" t="s">
        <v>174</v>
      </c>
      <c r="B65" t="s">
        <v>102</v>
      </c>
      <c r="C65" t="s">
        <v>175</v>
      </c>
      <c r="D65" t="s">
        <v>19</v>
      </c>
      <c r="E65" t="s">
        <v>31</v>
      </c>
      <c r="F65" s="4">
        <v>43959</v>
      </c>
      <c r="G65">
        <v>15</v>
      </c>
      <c r="H65">
        <v>1800</v>
      </c>
      <c r="I65" s="15">
        <f t="shared" si="4"/>
        <v>1787</v>
      </c>
      <c r="J65">
        <f t="shared" si="5"/>
        <v>2020</v>
      </c>
      <c r="K65">
        <v>98</v>
      </c>
      <c r="L65">
        <v>89</v>
      </c>
      <c r="M65" s="14" t="str">
        <f t="shared" si="6"/>
        <v>YES</v>
      </c>
      <c r="N65" s="11">
        <f t="shared" si="7"/>
        <v>83.939563514269722</v>
      </c>
    </row>
    <row r="66" spans="1:14" ht="15" x14ac:dyDescent="0.25">
      <c r="A66" t="s">
        <v>176</v>
      </c>
      <c r="B66" t="s">
        <v>122</v>
      </c>
      <c r="C66" t="s">
        <v>177</v>
      </c>
      <c r="D66" t="s">
        <v>14</v>
      </c>
      <c r="E66" t="s">
        <v>15</v>
      </c>
      <c r="F66" s="4">
        <v>44555</v>
      </c>
      <c r="G66">
        <v>7</v>
      </c>
      <c r="H66">
        <v>1200</v>
      </c>
      <c r="I66" s="15">
        <f t="shared" ref="I66:I97" si="8">DATE(2025, 3, 30) - F66</f>
        <v>1191</v>
      </c>
      <c r="J66">
        <f t="shared" ref="J66:J97" si="9">YEAR(F66)</f>
        <v>2021</v>
      </c>
      <c r="K66">
        <v>90</v>
      </c>
      <c r="L66">
        <v>77</v>
      </c>
      <c r="M66" s="14" t="str">
        <f t="shared" ref="M66:M97" si="10">IF(G66&gt;10,"YES","NO")</f>
        <v>NO</v>
      </c>
      <c r="N66" s="11">
        <f t="shared" ref="N66:N97" si="11">G66/I66*10000</f>
        <v>58.774139378673382</v>
      </c>
    </row>
    <row r="67" spans="1:14" ht="15" x14ac:dyDescent="0.25">
      <c r="A67" t="s">
        <v>178</v>
      </c>
      <c r="B67" t="s">
        <v>179</v>
      </c>
      <c r="C67" t="s">
        <v>180</v>
      </c>
      <c r="D67" t="s">
        <v>19</v>
      </c>
      <c r="E67" t="s">
        <v>20</v>
      </c>
      <c r="F67" s="4">
        <v>44848</v>
      </c>
      <c r="G67">
        <v>10</v>
      </c>
      <c r="H67">
        <v>1500</v>
      </c>
      <c r="I67" s="15">
        <f t="shared" si="8"/>
        <v>898</v>
      </c>
      <c r="J67">
        <f t="shared" si="9"/>
        <v>2022</v>
      </c>
      <c r="K67">
        <v>93</v>
      </c>
      <c r="L67">
        <v>84</v>
      </c>
      <c r="M67" s="14" t="str">
        <f t="shared" si="10"/>
        <v>NO</v>
      </c>
      <c r="N67" s="11">
        <f t="shared" si="11"/>
        <v>111.35857461024499</v>
      </c>
    </row>
    <row r="68" spans="1:14" ht="15" x14ac:dyDescent="0.25">
      <c r="A68" t="s">
        <v>181</v>
      </c>
      <c r="B68" t="s">
        <v>29</v>
      </c>
      <c r="C68" t="s">
        <v>67</v>
      </c>
      <c r="D68" t="s">
        <v>14</v>
      </c>
      <c r="E68" t="s">
        <v>24</v>
      </c>
      <c r="F68" s="4">
        <v>44138</v>
      </c>
      <c r="G68">
        <v>8</v>
      </c>
      <c r="H68">
        <v>1300</v>
      </c>
      <c r="I68" s="15">
        <f t="shared" si="8"/>
        <v>1608</v>
      </c>
      <c r="J68">
        <f t="shared" si="9"/>
        <v>2020</v>
      </c>
      <c r="K68">
        <v>89</v>
      </c>
      <c r="L68">
        <v>81</v>
      </c>
      <c r="M68" s="14" t="str">
        <f t="shared" si="10"/>
        <v>NO</v>
      </c>
      <c r="N68" s="11">
        <f t="shared" si="11"/>
        <v>49.751243781094523</v>
      </c>
    </row>
    <row r="69" spans="1:14" ht="15" x14ac:dyDescent="0.25">
      <c r="A69" t="s">
        <v>182</v>
      </c>
      <c r="B69" t="s">
        <v>66</v>
      </c>
      <c r="C69" t="s">
        <v>149</v>
      </c>
      <c r="D69" t="s">
        <v>19</v>
      </c>
      <c r="E69" t="s">
        <v>38</v>
      </c>
      <c r="F69" s="4">
        <v>44445</v>
      </c>
      <c r="G69">
        <v>11</v>
      </c>
      <c r="H69">
        <v>1700</v>
      </c>
      <c r="I69" s="15">
        <f t="shared" si="8"/>
        <v>1301</v>
      </c>
      <c r="J69">
        <f t="shared" si="9"/>
        <v>2021</v>
      </c>
      <c r="K69">
        <v>97</v>
      </c>
      <c r="L69">
        <v>90</v>
      </c>
      <c r="M69" s="14" t="str">
        <f t="shared" si="10"/>
        <v>YES</v>
      </c>
      <c r="N69" s="11">
        <f t="shared" si="11"/>
        <v>84.550345887778633</v>
      </c>
    </row>
    <row r="70" spans="1:14" ht="15" x14ac:dyDescent="0.25">
      <c r="A70" t="s">
        <v>183</v>
      </c>
      <c r="B70" t="s">
        <v>184</v>
      </c>
      <c r="C70" t="s">
        <v>64</v>
      </c>
      <c r="D70" t="s">
        <v>14</v>
      </c>
      <c r="E70" t="s">
        <v>15</v>
      </c>
      <c r="F70" s="4">
        <v>43939</v>
      </c>
      <c r="G70">
        <v>12</v>
      </c>
      <c r="H70">
        <v>1600</v>
      </c>
      <c r="I70" s="15">
        <f t="shared" si="8"/>
        <v>1807</v>
      </c>
      <c r="J70">
        <f t="shared" si="9"/>
        <v>2020</v>
      </c>
      <c r="K70">
        <v>95</v>
      </c>
      <c r="L70">
        <v>85</v>
      </c>
      <c r="M70" s="14" t="str">
        <f t="shared" si="10"/>
        <v>YES</v>
      </c>
      <c r="N70" s="11">
        <f t="shared" si="11"/>
        <v>66.408411732152743</v>
      </c>
    </row>
    <row r="71" spans="1:14" ht="15" x14ac:dyDescent="0.25">
      <c r="A71" t="s">
        <v>185</v>
      </c>
      <c r="B71" t="s">
        <v>186</v>
      </c>
      <c r="C71" t="s">
        <v>56</v>
      </c>
      <c r="D71" t="s">
        <v>19</v>
      </c>
      <c r="E71" t="s">
        <v>31</v>
      </c>
      <c r="F71" s="4">
        <v>44572</v>
      </c>
      <c r="G71">
        <v>14</v>
      </c>
      <c r="H71">
        <v>1750</v>
      </c>
      <c r="I71" s="15">
        <f t="shared" si="8"/>
        <v>1174</v>
      </c>
      <c r="J71">
        <f t="shared" si="9"/>
        <v>2022</v>
      </c>
      <c r="K71">
        <v>99</v>
      </c>
      <c r="L71">
        <v>88</v>
      </c>
      <c r="M71" s="14" t="str">
        <f t="shared" si="10"/>
        <v>YES</v>
      </c>
      <c r="N71" s="11">
        <f t="shared" si="11"/>
        <v>119.2504258943782</v>
      </c>
    </row>
    <row r="72" spans="1:14" ht="15" x14ac:dyDescent="0.25">
      <c r="A72" t="s">
        <v>187</v>
      </c>
      <c r="B72" t="s">
        <v>72</v>
      </c>
      <c r="C72" t="s">
        <v>76</v>
      </c>
      <c r="D72" t="s">
        <v>19</v>
      </c>
      <c r="E72" t="s">
        <v>15</v>
      </c>
      <c r="F72" s="4">
        <v>44278</v>
      </c>
      <c r="G72">
        <v>12</v>
      </c>
      <c r="H72">
        <v>1550</v>
      </c>
      <c r="I72" s="15">
        <f t="shared" si="8"/>
        <v>1468</v>
      </c>
      <c r="J72">
        <f t="shared" si="9"/>
        <v>2021</v>
      </c>
      <c r="K72">
        <v>94</v>
      </c>
      <c r="L72">
        <v>86</v>
      </c>
      <c r="M72" s="14" t="str">
        <f t="shared" si="10"/>
        <v>YES</v>
      </c>
      <c r="N72" s="11">
        <f t="shared" si="11"/>
        <v>81.743869209809262</v>
      </c>
    </row>
    <row r="73" spans="1:14" ht="15" x14ac:dyDescent="0.25">
      <c r="A73" t="s">
        <v>188</v>
      </c>
      <c r="B73" t="s">
        <v>189</v>
      </c>
      <c r="C73" t="s">
        <v>138</v>
      </c>
      <c r="D73" t="s">
        <v>14</v>
      </c>
      <c r="E73" t="s">
        <v>31</v>
      </c>
      <c r="F73" s="4">
        <v>44057</v>
      </c>
      <c r="G73">
        <v>14</v>
      </c>
      <c r="H73">
        <v>1800</v>
      </c>
      <c r="I73" s="15">
        <f t="shared" si="8"/>
        <v>1689</v>
      </c>
      <c r="J73">
        <f t="shared" si="9"/>
        <v>2020</v>
      </c>
      <c r="K73">
        <v>97</v>
      </c>
      <c r="L73">
        <v>90</v>
      </c>
      <c r="M73" s="14" t="str">
        <f t="shared" si="10"/>
        <v>YES</v>
      </c>
      <c r="N73" s="11">
        <f t="shared" si="11"/>
        <v>82.889283599763175</v>
      </c>
    </row>
    <row r="74" spans="1:14" ht="15" x14ac:dyDescent="0.25">
      <c r="A74" t="s">
        <v>48</v>
      </c>
      <c r="B74" t="s">
        <v>49</v>
      </c>
      <c r="C74" t="s">
        <v>50</v>
      </c>
      <c r="D74" t="s">
        <v>19</v>
      </c>
      <c r="E74" t="s">
        <v>15</v>
      </c>
      <c r="F74" s="4">
        <v>43845</v>
      </c>
      <c r="G74">
        <v>11</v>
      </c>
      <c r="H74">
        <v>1500</v>
      </c>
      <c r="I74" s="15">
        <f t="shared" si="8"/>
        <v>1901</v>
      </c>
      <c r="J74">
        <f t="shared" si="9"/>
        <v>2020</v>
      </c>
      <c r="K74">
        <v>94</v>
      </c>
      <c r="L74">
        <v>84</v>
      </c>
      <c r="M74" s="14" t="str">
        <f t="shared" si="10"/>
        <v>YES</v>
      </c>
      <c r="N74" s="11">
        <f t="shared" si="11"/>
        <v>57.864281956864808</v>
      </c>
    </row>
    <row r="75" spans="1:14" ht="15" x14ac:dyDescent="0.25">
      <c r="A75" t="s">
        <v>51</v>
      </c>
      <c r="B75" t="s">
        <v>52</v>
      </c>
      <c r="C75" t="s">
        <v>53</v>
      </c>
      <c r="D75" t="s">
        <v>14</v>
      </c>
      <c r="E75" t="s">
        <v>31</v>
      </c>
      <c r="F75" s="4">
        <v>44249</v>
      </c>
      <c r="G75">
        <v>14</v>
      </c>
      <c r="H75">
        <v>1750</v>
      </c>
      <c r="I75" s="15">
        <f t="shared" si="8"/>
        <v>1497</v>
      </c>
      <c r="J75">
        <f t="shared" si="9"/>
        <v>2021</v>
      </c>
      <c r="K75">
        <v>97</v>
      </c>
      <c r="L75">
        <v>89</v>
      </c>
      <c r="M75" s="14" t="str">
        <f t="shared" si="10"/>
        <v>YES</v>
      </c>
      <c r="N75" s="11">
        <f t="shared" si="11"/>
        <v>93.520374081496328</v>
      </c>
    </row>
    <row r="76" spans="1:14" ht="15" x14ac:dyDescent="0.25">
      <c r="A76" t="s">
        <v>190</v>
      </c>
      <c r="B76" t="s">
        <v>116</v>
      </c>
      <c r="C76" t="s">
        <v>191</v>
      </c>
      <c r="D76" t="s">
        <v>19</v>
      </c>
      <c r="E76" t="s">
        <v>24</v>
      </c>
      <c r="F76" s="4">
        <v>44742</v>
      </c>
      <c r="G76">
        <v>9</v>
      </c>
      <c r="H76">
        <v>1350</v>
      </c>
      <c r="I76" s="15">
        <f t="shared" si="8"/>
        <v>1004</v>
      </c>
      <c r="J76">
        <f t="shared" si="9"/>
        <v>2022</v>
      </c>
      <c r="K76">
        <v>91</v>
      </c>
      <c r="L76">
        <v>82</v>
      </c>
      <c r="M76" s="14" t="str">
        <f t="shared" si="10"/>
        <v>NO</v>
      </c>
      <c r="N76" s="11">
        <f t="shared" si="11"/>
        <v>89.641434262948209</v>
      </c>
    </row>
    <row r="77" spans="1:14" ht="15" x14ac:dyDescent="0.25">
      <c r="A77" t="s">
        <v>192</v>
      </c>
      <c r="B77" t="s">
        <v>105</v>
      </c>
      <c r="C77" t="s">
        <v>144</v>
      </c>
      <c r="D77" t="s">
        <v>14</v>
      </c>
      <c r="E77" t="s">
        <v>20</v>
      </c>
      <c r="F77" s="4">
        <v>43763</v>
      </c>
      <c r="G77">
        <v>10</v>
      </c>
      <c r="H77">
        <v>1500</v>
      </c>
      <c r="I77" s="15">
        <f t="shared" si="8"/>
        <v>1983</v>
      </c>
      <c r="J77">
        <f t="shared" si="9"/>
        <v>2019</v>
      </c>
      <c r="K77">
        <v>95</v>
      </c>
      <c r="L77">
        <v>85</v>
      </c>
      <c r="M77" s="14" t="str">
        <f t="shared" si="10"/>
        <v>NO</v>
      </c>
      <c r="N77" s="11">
        <f t="shared" si="11"/>
        <v>50.428643469490666</v>
      </c>
    </row>
    <row r="78" spans="1:14" ht="15" x14ac:dyDescent="0.25">
      <c r="A78" t="s">
        <v>193</v>
      </c>
      <c r="B78" t="s">
        <v>194</v>
      </c>
      <c r="C78" t="s">
        <v>195</v>
      </c>
      <c r="D78" t="s">
        <v>19</v>
      </c>
      <c r="E78" t="s">
        <v>38</v>
      </c>
      <c r="F78" s="4">
        <v>44512</v>
      </c>
      <c r="G78">
        <v>11</v>
      </c>
      <c r="H78">
        <v>1600</v>
      </c>
      <c r="I78" s="15">
        <f t="shared" si="8"/>
        <v>1234</v>
      </c>
      <c r="J78">
        <f t="shared" si="9"/>
        <v>2021</v>
      </c>
      <c r="K78">
        <v>96</v>
      </c>
      <c r="L78">
        <v>87</v>
      </c>
      <c r="M78" s="14" t="str">
        <f t="shared" si="10"/>
        <v>YES</v>
      </c>
      <c r="N78" s="11">
        <f t="shared" si="11"/>
        <v>89.141004862236628</v>
      </c>
    </row>
    <row r="79" spans="1:14" ht="15" x14ac:dyDescent="0.25">
      <c r="A79" t="s">
        <v>196</v>
      </c>
      <c r="B79" t="s">
        <v>58</v>
      </c>
      <c r="C79" t="s">
        <v>197</v>
      </c>
      <c r="D79" t="s">
        <v>14</v>
      </c>
      <c r="E79" t="s">
        <v>15</v>
      </c>
      <c r="F79" s="4">
        <v>43951</v>
      </c>
      <c r="G79">
        <v>13</v>
      </c>
      <c r="H79">
        <v>1750</v>
      </c>
      <c r="I79" s="15">
        <f t="shared" si="8"/>
        <v>1795</v>
      </c>
      <c r="J79">
        <f t="shared" si="9"/>
        <v>2020</v>
      </c>
      <c r="K79">
        <v>98</v>
      </c>
      <c r="L79">
        <v>89</v>
      </c>
      <c r="M79" s="14" t="str">
        <f t="shared" si="10"/>
        <v>YES</v>
      </c>
      <c r="N79" s="11">
        <f t="shared" si="11"/>
        <v>72.423398328690809</v>
      </c>
    </row>
    <row r="80" spans="1:14" ht="15" x14ac:dyDescent="0.25">
      <c r="A80" t="s">
        <v>198</v>
      </c>
      <c r="B80" t="s">
        <v>90</v>
      </c>
      <c r="C80" t="s">
        <v>199</v>
      </c>
      <c r="D80" t="s">
        <v>19</v>
      </c>
      <c r="E80" t="s">
        <v>20</v>
      </c>
      <c r="F80" s="4">
        <v>44440</v>
      </c>
      <c r="G80">
        <v>12</v>
      </c>
      <c r="H80">
        <v>1700</v>
      </c>
      <c r="I80" s="15">
        <f t="shared" si="8"/>
        <v>1306</v>
      </c>
      <c r="J80">
        <f t="shared" si="9"/>
        <v>2021</v>
      </c>
      <c r="K80">
        <v>97</v>
      </c>
      <c r="L80">
        <v>91</v>
      </c>
      <c r="M80" s="14" t="str">
        <f t="shared" si="10"/>
        <v>YES</v>
      </c>
      <c r="N80" s="11">
        <f t="shared" si="11"/>
        <v>91.883614088820835</v>
      </c>
    </row>
    <row r="81" spans="1:14" ht="15" x14ac:dyDescent="0.25">
      <c r="A81" t="s">
        <v>200</v>
      </c>
      <c r="B81" t="s">
        <v>69</v>
      </c>
      <c r="C81" t="s">
        <v>67</v>
      </c>
      <c r="D81" t="s">
        <v>14</v>
      </c>
      <c r="E81" t="s">
        <v>24</v>
      </c>
      <c r="F81" s="4">
        <v>43973</v>
      </c>
      <c r="G81">
        <v>8</v>
      </c>
      <c r="H81">
        <v>1300</v>
      </c>
      <c r="I81" s="15">
        <f t="shared" si="8"/>
        <v>1773</v>
      </c>
      <c r="J81">
        <f t="shared" si="9"/>
        <v>2020</v>
      </c>
      <c r="K81">
        <v>89</v>
      </c>
      <c r="L81">
        <v>78</v>
      </c>
      <c r="M81" s="14" t="str">
        <f t="shared" si="10"/>
        <v>NO</v>
      </c>
      <c r="N81" s="11">
        <f t="shared" si="11"/>
        <v>45.121263395375074</v>
      </c>
    </row>
    <row r="82" spans="1:14" ht="15" x14ac:dyDescent="0.25">
      <c r="A82" t="s">
        <v>201</v>
      </c>
      <c r="B82" t="s">
        <v>55</v>
      </c>
      <c r="C82" t="s">
        <v>120</v>
      </c>
      <c r="D82" t="s">
        <v>19</v>
      </c>
      <c r="E82" t="s">
        <v>38</v>
      </c>
      <c r="F82" s="4">
        <v>44603</v>
      </c>
      <c r="G82">
        <v>9</v>
      </c>
      <c r="H82">
        <v>1450</v>
      </c>
      <c r="I82" s="15">
        <f t="shared" si="8"/>
        <v>1143</v>
      </c>
      <c r="J82">
        <f t="shared" si="9"/>
        <v>2022</v>
      </c>
      <c r="K82">
        <v>93</v>
      </c>
      <c r="L82">
        <v>84</v>
      </c>
      <c r="M82" s="14" t="str">
        <f t="shared" si="10"/>
        <v>NO</v>
      </c>
      <c r="N82" s="11">
        <f t="shared" si="11"/>
        <v>78.740157480314963</v>
      </c>
    </row>
    <row r="83" spans="1:14" ht="15" x14ac:dyDescent="0.25">
      <c r="A83" t="s">
        <v>202</v>
      </c>
      <c r="B83" t="s">
        <v>63</v>
      </c>
      <c r="C83" t="s">
        <v>64</v>
      </c>
      <c r="D83" t="s">
        <v>14</v>
      </c>
      <c r="E83" t="s">
        <v>15</v>
      </c>
      <c r="F83" s="4">
        <v>43666</v>
      </c>
      <c r="G83">
        <v>11</v>
      </c>
      <c r="H83">
        <v>1650</v>
      </c>
      <c r="I83" s="15">
        <f t="shared" si="8"/>
        <v>2080</v>
      </c>
      <c r="J83">
        <f t="shared" si="9"/>
        <v>2019</v>
      </c>
      <c r="K83">
        <v>96</v>
      </c>
      <c r="L83">
        <v>88</v>
      </c>
      <c r="M83" s="14" t="str">
        <f t="shared" si="10"/>
        <v>YES</v>
      </c>
      <c r="N83" s="11">
        <f t="shared" si="11"/>
        <v>52.884615384615387</v>
      </c>
    </row>
    <row r="84" spans="1:14" ht="15" x14ac:dyDescent="0.25">
      <c r="A84" t="s">
        <v>203</v>
      </c>
      <c r="B84" t="s">
        <v>96</v>
      </c>
      <c r="C84" t="s">
        <v>73</v>
      </c>
      <c r="D84" t="s">
        <v>19</v>
      </c>
      <c r="E84" t="s">
        <v>31</v>
      </c>
      <c r="F84" s="4">
        <v>44294</v>
      </c>
      <c r="G84">
        <v>10</v>
      </c>
      <c r="H84">
        <v>1450</v>
      </c>
      <c r="I84" s="15">
        <f t="shared" si="8"/>
        <v>1452</v>
      </c>
      <c r="J84">
        <f t="shared" si="9"/>
        <v>2021</v>
      </c>
      <c r="K84">
        <v>92</v>
      </c>
      <c r="L84">
        <v>83</v>
      </c>
      <c r="M84" s="14" t="str">
        <f t="shared" si="10"/>
        <v>NO</v>
      </c>
      <c r="N84" s="11">
        <f t="shared" si="11"/>
        <v>68.870523415977956</v>
      </c>
    </row>
    <row r="85" spans="1:14" ht="15" x14ac:dyDescent="0.25">
      <c r="A85" t="s">
        <v>204</v>
      </c>
      <c r="B85" t="s">
        <v>114</v>
      </c>
      <c r="C85" t="s">
        <v>205</v>
      </c>
      <c r="D85" t="s">
        <v>14</v>
      </c>
      <c r="E85" t="s">
        <v>20</v>
      </c>
      <c r="F85" s="4">
        <v>44184</v>
      </c>
      <c r="G85">
        <v>13</v>
      </c>
      <c r="H85">
        <v>1750</v>
      </c>
      <c r="I85" s="15">
        <f t="shared" si="8"/>
        <v>1562</v>
      </c>
      <c r="J85">
        <f t="shared" si="9"/>
        <v>2020</v>
      </c>
      <c r="K85">
        <v>98</v>
      </c>
      <c r="L85">
        <v>89</v>
      </c>
      <c r="M85" s="14" t="str">
        <f t="shared" si="10"/>
        <v>YES</v>
      </c>
      <c r="N85" s="11">
        <f t="shared" si="11"/>
        <v>83.226632522407172</v>
      </c>
    </row>
    <row r="86" spans="1:14" ht="15" x14ac:dyDescent="0.25">
      <c r="A86" t="s">
        <v>206</v>
      </c>
      <c r="B86" t="s">
        <v>49</v>
      </c>
      <c r="C86" t="s">
        <v>61</v>
      </c>
      <c r="D86" t="s">
        <v>19</v>
      </c>
      <c r="E86" t="s">
        <v>24</v>
      </c>
      <c r="F86" s="4">
        <v>44492</v>
      </c>
      <c r="G86">
        <v>12</v>
      </c>
      <c r="H86">
        <v>1700</v>
      </c>
      <c r="I86" s="15">
        <f t="shared" si="8"/>
        <v>1254</v>
      </c>
      <c r="J86">
        <f t="shared" si="9"/>
        <v>2021</v>
      </c>
      <c r="K86">
        <v>97</v>
      </c>
      <c r="L86">
        <v>90</v>
      </c>
      <c r="M86" s="14" t="str">
        <f t="shared" si="10"/>
        <v>YES</v>
      </c>
      <c r="N86" s="11">
        <f t="shared" si="11"/>
        <v>95.693779904306211</v>
      </c>
    </row>
    <row r="87" spans="1:14" ht="15" x14ac:dyDescent="0.25">
      <c r="A87" t="s">
        <v>207</v>
      </c>
      <c r="B87" t="s">
        <v>118</v>
      </c>
      <c r="C87" t="s">
        <v>151</v>
      </c>
      <c r="D87" t="s">
        <v>14</v>
      </c>
      <c r="E87" t="s">
        <v>38</v>
      </c>
      <c r="F87" s="4">
        <v>44029</v>
      </c>
      <c r="G87">
        <v>8</v>
      </c>
      <c r="H87">
        <v>1350</v>
      </c>
      <c r="I87" s="15">
        <f t="shared" si="8"/>
        <v>1717</v>
      </c>
      <c r="J87">
        <f t="shared" si="9"/>
        <v>2020</v>
      </c>
      <c r="K87">
        <v>90</v>
      </c>
      <c r="L87">
        <v>79</v>
      </c>
      <c r="M87" s="14" t="str">
        <f t="shared" si="10"/>
        <v>NO</v>
      </c>
      <c r="N87" s="11">
        <f t="shared" si="11"/>
        <v>46.592894583576005</v>
      </c>
    </row>
    <row r="88" spans="1:14" ht="15" x14ac:dyDescent="0.25">
      <c r="A88" t="s">
        <v>208</v>
      </c>
      <c r="B88" t="s">
        <v>124</v>
      </c>
      <c r="C88" t="s">
        <v>163</v>
      </c>
      <c r="D88" t="s">
        <v>19</v>
      </c>
      <c r="E88" t="s">
        <v>15</v>
      </c>
      <c r="F88" s="4">
        <v>44648</v>
      </c>
      <c r="G88">
        <v>9</v>
      </c>
      <c r="H88">
        <v>1500</v>
      </c>
      <c r="I88" s="15">
        <f t="shared" si="8"/>
        <v>1098</v>
      </c>
      <c r="J88">
        <f t="shared" si="9"/>
        <v>2022</v>
      </c>
      <c r="K88">
        <v>93</v>
      </c>
      <c r="L88">
        <v>85</v>
      </c>
      <c r="M88" s="14" t="str">
        <f t="shared" si="10"/>
        <v>NO</v>
      </c>
      <c r="N88" s="11">
        <f t="shared" si="11"/>
        <v>81.967213114754102</v>
      </c>
    </row>
    <row r="89" spans="1:14" ht="15" x14ac:dyDescent="0.25">
      <c r="A89" t="s">
        <v>209</v>
      </c>
      <c r="B89" t="s">
        <v>52</v>
      </c>
      <c r="C89" t="s">
        <v>149</v>
      </c>
      <c r="D89" t="s">
        <v>14</v>
      </c>
      <c r="E89" t="s">
        <v>31</v>
      </c>
      <c r="F89" s="4">
        <v>43711</v>
      </c>
      <c r="G89">
        <v>15</v>
      </c>
      <c r="H89">
        <v>1800</v>
      </c>
      <c r="I89" s="15">
        <f t="shared" si="8"/>
        <v>2035</v>
      </c>
      <c r="J89">
        <f t="shared" si="9"/>
        <v>2019</v>
      </c>
      <c r="K89">
        <v>99</v>
      </c>
      <c r="L89">
        <v>92</v>
      </c>
      <c r="M89" s="14" t="str">
        <f t="shared" si="10"/>
        <v>YES</v>
      </c>
      <c r="N89" s="11">
        <f t="shared" si="11"/>
        <v>73.710073710073715</v>
      </c>
    </row>
    <row r="90" spans="1:14" ht="15" x14ac:dyDescent="0.25">
      <c r="A90" t="s">
        <v>210</v>
      </c>
      <c r="B90" t="s">
        <v>66</v>
      </c>
      <c r="C90" t="s">
        <v>211</v>
      </c>
      <c r="D90" t="s">
        <v>19</v>
      </c>
      <c r="E90" t="s">
        <v>20</v>
      </c>
      <c r="F90" s="4">
        <v>44243</v>
      </c>
      <c r="G90">
        <v>10</v>
      </c>
      <c r="H90">
        <v>1450</v>
      </c>
      <c r="I90" s="15">
        <f t="shared" si="8"/>
        <v>1503</v>
      </c>
      <c r="J90">
        <f t="shared" si="9"/>
        <v>2021</v>
      </c>
      <c r="K90">
        <v>94</v>
      </c>
      <c r="L90">
        <v>83</v>
      </c>
      <c r="M90" s="14" t="str">
        <f t="shared" si="10"/>
        <v>NO</v>
      </c>
      <c r="N90" s="11">
        <f t="shared" si="11"/>
        <v>66.533599467731207</v>
      </c>
    </row>
    <row r="91" spans="1:14" ht="15" x14ac:dyDescent="0.25">
      <c r="A91" t="s">
        <v>212</v>
      </c>
      <c r="B91" t="s">
        <v>140</v>
      </c>
      <c r="C91" t="s">
        <v>53</v>
      </c>
      <c r="D91" t="s">
        <v>14</v>
      </c>
      <c r="E91" t="s">
        <v>24</v>
      </c>
      <c r="F91" s="4">
        <v>43991</v>
      </c>
      <c r="G91">
        <v>8</v>
      </c>
      <c r="H91">
        <v>1350</v>
      </c>
      <c r="I91" s="15">
        <f t="shared" si="8"/>
        <v>1755</v>
      </c>
      <c r="J91">
        <f t="shared" si="9"/>
        <v>2020</v>
      </c>
      <c r="K91">
        <v>91</v>
      </c>
      <c r="L91">
        <v>81</v>
      </c>
      <c r="M91" s="14" t="str">
        <f t="shared" si="10"/>
        <v>NO</v>
      </c>
      <c r="N91" s="11">
        <f t="shared" si="11"/>
        <v>45.584045584045583</v>
      </c>
    </row>
    <row r="92" spans="1:14" ht="15" x14ac:dyDescent="0.25">
      <c r="A92" t="s">
        <v>213</v>
      </c>
      <c r="B92" t="s">
        <v>116</v>
      </c>
      <c r="C92" t="s">
        <v>125</v>
      </c>
      <c r="D92" t="s">
        <v>19</v>
      </c>
      <c r="E92" t="s">
        <v>38</v>
      </c>
      <c r="F92" s="4">
        <v>44890</v>
      </c>
      <c r="G92">
        <v>11</v>
      </c>
      <c r="H92">
        <v>1700</v>
      </c>
      <c r="I92" s="15">
        <f t="shared" si="8"/>
        <v>856</v>
      </c>
      <c r="J92">
        <f t="shared" si="9"/>
        <v>2022</v>
      </c>
      <c r="K92">
        <v>96</v>
      </c>
      <c r="L92">
        <v>90</v>
      </c>
      <c r="M92" s="14" t="str">
        <f t="shared" si="10"/>
        <v>YES</v>
      </c>
      <c r="N92" s="11">
        <f t="shared" si="11"/>
        <v>128.50467289719626</v>
      </c>
    </row>
    <row r="93" spans="1:14" ht="15" x14ac:dyDescent="0.25">
      <c r="A93" t="s">
        <v>214</v>
      </c>
      <c r="B93" t="s">
        <v>75</v>
      </c>
      <c r="C93" t="s">
        <v>215</v>
      </c>
      <c r="D93" t="s">
        <v>14</v>
      </c>
      <c r="E93" t="s">
        <v>15</v>
      </c>
      <c r="F93" s="4">
        <v>44057</v>
      </c>
      <c r="G93">
        <v>14</v>
      </c>
      <c r="H93">
        <v>1750</v>
      </c>
      <c r="I93" s="15">
        <f t="shared" si="8"/>
        <v>1689</v>
      </c>
      <c r="J93">
        <f t="shared" si="9"/>
        <v>2020</v>
      </c>
      <c r="K93">
        <v>98</v>
      </c>
      <c r="L93">
        <v>89</v>
      </c>
      <c r="M93" s="14" t="str">
        <f t="shared" si="10"/>
        <v>YES</v>
      </c>
      <c r="N93" s="11">
        <f t="shared" si="11"/>
        <v>82.889283599763175</v>
      </c>
    </row>
    <row r="94" spans="1:14" ht="15" x14ac:dyDescent="0.25">
      <c r="A94" t="s">
        <v>216</v>
      </c>
      <c r="B94" t="s">
        <v>17</v>
      </c>
      <c r="C94" t="s">
        <v>53</v>
      </c>
      <c r="D94" t="s">
        <v>19</v>
      </c>
      <c r="E94" t="s">
        <v>31</v>
      </c>
      <c r="F94" s="4">
        <v>44385</v>
      </c>
      <c r="G94">
        <v>12</v>
      </c>
      <c r="H94">
        <v>1600</v>
      </c>
      <c r="I94" s="15">
        <f t="shared" si="8"/>
        <v>1361</v>
      </c>
      <c r="J94">
        <f t="shared" si="9"/>
        <v>2021</v>
      </c>
      <c r="K94">
        <v>97</v>
      </c>
      <c r="L94">
        <v>87</v>
      </c>
      <c r="M94" s="14" t="str">
        <f t="shared" si="10"/>
        <v>YES</v>
      </c>
      <c r="N94" s="11">
        <f t="shared" si="11"/>
        <v>88.170462894930196</v>
      </c>
    </row>
    <row r="95" spans="1:14" ht="15" x14ac:dyDescent="0.25">
      <c r="A95" t="s">
        <v>217</v>
      </c>
      <c r="B95" t="s">
        <v>122</v>
      </c>
      <c r="C95" t="s">
        <v>218</v>
      </c>
      <c r="D95" t="s">
        <v>14</v>
      </c>
      <c r="E95" t="s">
        <v>20</v>
      </c>
      <c r="F95" s="4">
        <v>43773</v>
      </c>
      <c r="G95">
        <v>9</v>
      </c>
      <c r="H95">
        <v>1450</v>
      </c>
      <c r="I95" s="15">
        <f t="shared" si="8"/>
        <v>1973</v>
      </c>
      <c r="J95">
        <f t="shared" si="9"/>
        <v>2019</v>
      </c>
      <c r="K95">
        <v>92</v>
      </c>
      <c r="L95">
        <v>82</v>
      </c>
      <c r="M95" s="14" t="str">
        <f t="shared" si="10"/>
        <v>NO</v>
      </c>
      <c r="N95" s="11">
        <f t="shared" si="11"/>
        <v>45.615813482007098</v>
      </c>
    </row>
    <row r="96" spans="1:14" ht="15" x14ac:dyDescent="0.25">
      <c r="A96" t="s">
        <v>219</v>
      </c>
      <c r="B96" t="s">
        <v>90</v>
      </c>
      <c r="C96" t="s">
        <v>50</v>
      </c>
      <c r="D96" t="s">
        <v>19</v>
      </c>
      <c r="E96" t="s">
        <v>24</v>
      </c>
      <c r="F96" s="4">
        <v>44256</v>
      </c>
      <c r="G96">
        <v>10</v>
      </c>
      <c r="H96">
        <v>1650</v>
      </c>
      <c r="I96" s="15">
        <f t="shared" si="8"/>
        <v>1490</v>
      </c>
      <c r="J96">
        <f t="shared" si="9"/>
        <v>2021</v>
      </c>
      <c r="K96">
        <v>95</v>
      </c>
      <c r="L96">
        <v>88</v>
      </c>
      <c r="M96" s="14" t="str">
        <f t="shared" si="10"/>
        <v>NO</v>
      </c>
      <c r="N96" s="11">
        <f t="shared" si="11"/>
        <v>67.114093959731548</v>
      </c>
    </row>
    <row r="97" spans="1:14" ht="15" x14ac:dyDescent="0.25">
      <c r="A97" t="s">
        <v>220</v>
      </c>
      <c r="B97" t="s">
        <v>58</v>
      </c>
      <c r="C97" t="s">
        <v>70</v>
      </c>
      <c r="D97" t="s">
        <v>14</v>
      </c>
      <c r="E97" t="s">
        <v>38</v>
      </c>
      <c r="F97" s="4">
        <v>43980</v>
      </c>
      <c r="G97">
        <v>13</v>
      </c>
      <c r="H97">
        <v>1750</v>
      </c>
      <c r="I97" s="15">
        <f t="shared" si="8"/>
        <v>1766</v>
      </c>
      <c r="J97">
        <f t="shared" si="9"/>
        <v>2020</v>
      </c>
      <c r="K97">
        <v>98</v>
      </c>
      <c r="L97">
        <v>91</v>
      </c>
      <c r="M97" s="14" t="str">
        <f t="shared" si="10"/>
        <v>YES</v>
      </c>
      <c r="N97" s="11">
        <f t="shared" si="11"/>
        <v>73.612684031710074</v>
      </c>
    </row>
    <row r="98" spans="1:14" ht="15" x14ac:dyDescent="0.25">
      <c r="A98" t="s">
        <v>221</v>
      </c>
      <c r="B98" t="s">
        <v>170</v>
      </c>
      <c r="C98" t="s">
        <v>222</v>
      </c>
      <c r="D98" t="s">
        <v>19</v>
      </c>
      <c r="E98" t="s">
        <v>15</v>
      </c>
      <c r="F98" s="4">
        <v>44665</v>
      </c>
      <c r="G98">
        <v>9</v>
      </c>
      <c r="H98">
        <v>1500</v>
      </c>
      <c r="I98" s="15">
        <f t="shared" ref="I98:I103" si="12">DATE(2025, 3, 30) - F98</f>
        <v>1081</v>
      </c>
      <c r="J98">
        <f t="shared" ref="J98:J103" si="13">YEAR(F98)</f>
        <v>2022</v>
      </c>
      <c r="K98">
        <v>94</v>
      </c>
      <c r="L98">
        <v>83</v>
      </c>
      <c r="M98" s="14" t="str">
        <f t="shared" ref="M98:M103" si="14">IF(G98&gt;10,"YES","NO")</f>
        <v>NO</v>
      </c>
      <c r="N98" s="11">
        <f t="shared" ref="N98:N103" si="15">G98/I98*10000</f>
        <v>83.256244218316382</v>
      </c>
    </row>
    <row r="99" spans="1:14" ht="15" x14ac:dyDescent="0.25">
      <c r="A99" t="s">
        <v>223</v>
      </c>
      <c r="B99" t="s">
        <v>99</v>
      </c>
      <c r="C99" t="s">
        <v>154</v>
      </c>
      <c r="D99" t="s">
        <v>14</v>
      </c>
      <c r="E99" t="s">
        <v>31</v>
      </c>
      <c r="F99" s="4">
        <v>43521</v>
      </c>
      <c r="G99">
        <v>11</v>
      </c>
      <c r="H99">
        <v>1600</v>
      </c>
      <c r="I99" s="15">
        <f t="shared" si="12"/>
        <v>2225</v>
      </c>
      <c r="J99">
        <f t="shared" si="13"/>
        <v>2019</v>
      </c>
      <c r="K99">
        <v>96</v>
      </c>
      <c r="L99">
        <v>85</v>
      </c>
      <c r="M99" s="14" t="str">
        <f t="shared" si="14"/>
        <v>YES</v>
      </c>
      <c r="N99" s="11">
        <f t="shared" si="15"/>
        <v>49.438202247191008</v>
      </c>
    </row>
    <row r="100" spans="1:14" ht="15" x14ac:dyDescent="0.25">
      <c r="A100" t="s">
        <v>224</v>
      </c>
      <c r="B100" t="s">
        <v>102</v>
      </c>
      <c r="C100" t="s">
        <v>177</v>
      </c>
      <c r="D100" t="s">
        <v>19</v>
      </c>
      <c r="E100" t="s">
        <v>20</v>
      </c>
      <c r="F100" s="4">
        <v>44518</v>
      </c>
      <c r="G100">
        <v>7</v>
      </c>
      <c r="H100">
        <v>1300</v>
      </c>
      <c r="I100" s="15">
        <f t="shared" si="12"/>
        <v>1228</v>
      </c>
      <c r="J100">
        <f t="shared" si="13"/>
        <v>2021</v>
      </c>
      <c r="K100">
        <v>90</v>
      </c>
      <c r="L100">
        <v>80</v>
      </c>
      <c r="M100" s="14" t="str">
        <f t="shared" si="14"/>
        <v>NO</v>
      </c>
      <c r="N100" s="11">
        <f t="shared" si="15"/>
        <v>57.00325732899023</v>
      </c>
    </row>
    <row r="101" spans="1:14" ht="15" x14ac:dyDescent="0.25">
      <c r="A101" t="s">
        <v>225</v>
      </c>
      <c r="B101" t="s">
        <v>29</v>
      </c>
      <c r="C101" t="s">
        <v>226</v>
      </c>
      <c r="D101" t="s">
        <v>14</v>
      </c>
      <c r="E101" t="s">
        <v>24</v>
      </c>
      <c r="F101" s="4">
        <v>44171</v>
      </c>
      <c r="G101">
        <v>8</v>
      </c>
      <c r="H101">
        <v>1400</v>
      </c>
      <c r="I101" s="15">
        <f t="shared" si="12"/>
        <v>1575</v>
      </c>
      <c r="J101">
        <f t="shared" si="13"/>
        <v>2020</v>
      </c>
      <c r="K101">
        <v>89</v>
      </c>
      <c r="L101">
        <v>79</v>
      </c>
      <c r="M101" s="14" t="str">
        <f t="shared" si="14"/>
        <v>NO</v>
      </c>
      <c r="N101" s="11">
        <f t="shared" si="15"/>
        <v>50.793650793650791</v>
      </c>
    </row>
    <row r="102" spans="1:14" ht="15" x14ac:dyDescent="0.25">
      <c r="A102" t="s">
        <v>227</v>
      </c>
      <c r="B102" t="s">
        <v>228</v>
      </c>
      <c r="C102" t="s">
        <v>229</v>
      </c>
      <c r="D102" t="s">
        <v>19</v>
      </c>
      <c r="E102" t="s">
        <v>38</v>
      </c>
      <c r="F102" s="4">
        <v>44772</v>
      </c>
      <c r="G102">
        <v>10</v>
      </c>
      <c r="H102">
        <v>1650</v>
      </c>
      <c r="I102" s="15">
        <f t="shared" si="12"/>
        <v>974</v>
      </c>
      <c r="J102">
        <f t="shared" si="13"/>
        <v>2022</v>
      </c>
      <c r="K102">
        <v>95</v>
      </c>
      <c r="L102">
        <v>88</v>
      </c>
      <c r="M102" s="14" t="str">
        <f t="shared" si="14"/>
        <v>NO</v>
      </c>
      <c r="N102" s="11">
        <f t="shared" si="15"/>
        <v>102.6694045174538</v>
      </c>
    </row>
    <row r="103" spans="1:14" ht="15" x14ac:dyDescent="0.25">
      <c r="A103" t="s">
        <v>230</v>
      </c>
      <c r="B103" t="s">
        <v>156</v>
      </c>
      <c r="C103" t="s">
        <v>120</v>
      </c>
      <c r="D103" t="s">
        <v>14</v>
      </c>
      <c r="E103" t="s">
        <v>15</v>
      </c>
      <c r="F103" s="4">
        <v>44360</v>
      </c>
      <c r="G103">
        <v>14</v>
      </c>
      <c r="H103">
        <v>1800</v>
      </c>
      <c r="I103" s="15">
        <f t="shared" si="12"/>
        <v>1386</v>
      </c>
      <c r="J103">
        <f t="shared" si="13"/>
        <v>2021</v>
      </c>
      <c r="K103">
        <v>99</v>
      </c>
      <c r="L103">
        <v>92</v>
      </c>
      <c r="M103" s="14" t="str">
        <f t="shared" si="14"/>
        <v>YES</v>
      </c>
      <c r="N103" s="11">
        <f t="shared" si="15"/>
        <v>101.01010101010102</v>
      </c>
    </row>
    <row r="104" spans="1:14" ht="15" x14ac:dyDescent="0.25">
      <c r="G104" s="5" t="s">
        <v>231</v>
      </c>
      <c r="H104">
        <f>SUM(H2:H103)</f>
        <v>157300</v>
      </c>
      <c r="L104">
        <f>AVERAGE(L2, L103)</f>
        <v>88.5</v>
      </c>
      <c r="M104" s="14"/>
    </row>
    <row r="105" spans="1:14" x14ac:dyDescent="0.2">
      <c r="M10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SUMMARY PIVOT TABLES</vt:lpstr>
      <vt:lpstr> CLEANED AND ANALYED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</dc:creator>
  <cp:lastModifiedBy>GG</cp:lastModifiedBy>
  <dcterms:created xsi:type="dcterms:W3CDTF">2025-04-03T14:38:12Z</dcterms:created>
  <dcterms:modified xsi:type="dcterms:W3CDTF">2025-04-13T21:53:42Z</dcterms:modified>
</cp:coreProperties>
</file>